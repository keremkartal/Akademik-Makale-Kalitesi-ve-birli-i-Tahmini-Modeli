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erem\Desktop\hakanproje\"/>
    </mc:Choice>
  </mc:AlternateContent>
  <xr:revisionPtr revIDLastSave="0" documentId="8_{7B8D69E9-11E7-4060-877D-B9ED290DE83F}" xr6:coauthVersionLast="47" xr6:coauthVersionMax="47" xr10:uidLastSave="{00000000-0000-0000-0000-000000000000}"/>
  <bookViews>
    <workbookView xWindow="-108" yWindow="-108" windowWidth="23256" windowHeight="12456" xr2:uid="{DA364C7D-77BF-4092-BCB3-08E794BA2AB1}"/>
  </bookViews>
  <sheets>
    <sheet name="Sayf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4" i="1" l="1"/>
  <c r="C73" i="1"/>
  <c r="C72" i="1"/>
  <c r="C71" i="1"/>
  <c r="C70" i="1"/>
  <c r="C69" i="1"/>
  <c r="C68" i="1"/>
  <c r="C67" i="1"/>
  <c r="C66" i="1"/>
  <c r="C65" i="1"/>
  <c r="C64" i="1"/>
  <c r="C63" i="1"/>
  <c r="C62" i="1"/>
  <c r="C61" i="1"/>
  <c r="C60" i="1"/>
  <c r="C59" i="1"/>
  <c r="C58" i="1"/>
  <c r="C57" i="1"/>
  <c r="C56" i="1"/>
  <c r="C55" i="1"/>
  <c r="C51" i="1"/>
  <c r="C50" i="1"/>
  <c r="C49" i="1"/>
  <c r="C48" i="1"/>
  <c r="C47" i="1"/>
  <c r="C46" i="1"/>
  <c r="C45" i="1"/>
  <c r="C44" i="1"/>
  <c r="C43" i="1"/>
  <c r="C42" i="1"/>
  <c r="C41" i="1"/>
  <c r="C40" i="1"/>
  <c r="C39" i="1"/>
  <c r="C38" i="1"/>
  <c r="C37" i="1"/>
  <c r="A21" i="1"/>
  <c r="B18" i="1"/>
  <c r="C18" i="1" s="1"/>
  <c r="B17" i="1"/>
  <c r="B16" i="1"/>
  <c r="C16" i="1" s="1"/>
  <c r="B15" i="1"/>
  <c r="C15" i="1" s="1"/>
  <c r="B9" i="1"/>
  <c r="B8" i="1"/>
  <c r="B6" i="1"/>
  <c r="C17" i="1" s="1"/>
  <c r="C19" i="1" l="1"/>
  <c r="B19" i="1"/>
</calcChain>
</file>

<file path=xl/sharedStrings.xml><?xml version="1.0" encoding="utf-8"?>
<sst xmlns="http://schemas.openxmlformats.org/spreadsheetml/2006/main" count="97" uniqueCount="94">
  <si>
    <t>📊 VERİ SETİ DETAYLI ANALİZ RAPORU</t>
  </si>
  <si>
    <t>Bahçeşehir Üniversitesi Akademik Yayın Veritabanı</t>
  </si>
  <si>
    <t>🔢 GENEL İSTATİSTİKLER</t>
  </si>
  <si>
    <t>Metrik</t>
  </si>
  <si>
    <t>Değer</t>
  </si>
  <si>
    <t>Toplam Kayıt Sayısı</t>
  </si>
  <si>
    <t>Sütun Sayısı</t>
  </si>
  <si>
    <t>Benzersiz DOI Sayısı</t>
  </si>
  <si>
    <t>Özet (Abstract) İçeren Kayıt</t>
  </si>
  <si>
    <t>Üniversite Sayısı</t>
  </si>
  <si>
    <t>Üniversite Adı</t>
  </si>
  <si>
    <t>Bahçeşehir Üniversitesi</t>
  </si>
  <si>
    <t>⭐ DERGİ KALİTE KATEGORİLERİ (Q Kategorileri)</t>
  </si>
  <si>
    <t>Kategori</t>
  </si>
  <si>
    <t>Makale Sayısı</t>
  </si>
  <si>
    <t>Yüzde (%)</t>
  </si>
  <si>
    <t>Q1 (En Yüksek Kalite)</t>
  </si>
  <si>
    <t>Q2</t>
  </si>
  <si>
    <t>Q3</t>
  </si>
  <si>
    <t>Q4</t>
  </si>
  <si>
    <t>TOPLAM</t>
  </si>
  <si>
    <t>💡 Yorum: Üst seviye dergilerde (Q1+Q2) yayınlanan makale yüzdesi:</t>
  </si>
  <si>
    <t>📋 SÜTUN YAPISI</t>
  </si>
  <si>
    <t>Sütun</t>
  </si>
  <si>
    <t>Açıklama</t>
  </si>
  <si>
    <t>A (Boş)</t>
  </si>
  <si>
    <t>İndeks numarası</t>
  </si>
  <si>
    <t>B (doi)</t>
  </si>
  <si>
    <t>Digital Object Identifier - Makale tanımlayıcısı</t>
  </si>
  <si>
    <t>C (abstract)</t>
  </si>
  <si>
    <t>Makale özeti</t>
  </si>
  <si>
    <t>D (title)</t>
  </si>
  <si>
    <t>Makale başlığı</t>
  </si>
  <si>
    <t>E (category name)</t>
  </si>
  <si>
    <t>Akademik kategori/alan</t>
  </si>
  <si>
    <t>F (keywords)</t>
  </si>
  <si>
    <t>Anahtar kelimeler</t>
  </si>
  <si>
    <t>G (university)</t>
  </si>
  <si>
    <t>Üniversite (tümü BAU)</t>
  </si>
  <si>
    <t>H (modded_Q_category)</t>
  </si>
  <si>
    <t>Dergi kalite kategorisi (Q1-Q4)</t>
  </si>
  <si>
    <t>I (hf_prompt)</t>
  </si>
  <si>
    <t>HuggingFace için hazırlanmış prompt</t>
  </si>
  <si>
    <t>🏆 EN POPÜLER 15 AKADEMİK ALAN</t>
  </si>
  <si>
    <t>Sıra</t>
  </si>
  <si>
    <t>Medicine, General &amp; Internal</t>
  </si>
  <si>
    <t>Materials Science, Multidisciplinary</t>
  </si>
  <si>
    <t>Surgery</t>
  </si>
  <si>
    <t>Mathematics, Applied</t>
  </si>
  <si>
    <t>Physics, Multidisciplinary</t>
  </si>
  <si>
    <t>Education &amp; Educational Research</t>
  </si>
  <si>
    <t>Clinical Neurology</t>
  </si>
  <si>
    <t>Cardiac &amp; Cardiovascular Systems</t>
  </si>
  <si>
    <t>Dentistry, Oral Surgery &amp; Medicine</t>
  </si>
  <si>
    <t>Computer Science, Artificial Intelligence</t>
  </si>
  <si>
    <t>Obstetrics &amp; Gynecology</t>
  </si>
  <si>
    <t>Engineering, Electrical &amp; Electronic</t>
  </si>
  <si>
    <t>Psychiatry</t>
  </si>
  <si>
    <t>Computer Science, Information Systems</t>
  </si>
  <si>
    <t>Biochemistry &amp; Molecular Biology</t>
  </si>
  <si>
    <t>🔑 EN SIK KULLANILAN 20 ANAHTAR KELİME</t>
  </si>
  <si>
    <t>Anahtar Kelime</t>
  </si>
  <si>
    <t>Frekans</t>
  </si>
  <si>
    <t>covid-19</t>
  </si>
  <si>
    <t>turkey</t>
  </si>
  <si>
    <t>sars-cov-2</t>
  </si>
  <si>
    <t>pandemic</t>
  </si>
  <si>
    <t>rat</t>
  </si>
  <si>
    <t>molecular docking</t>
  </si>
  <si>
    <t>text mining</t>
  </si>
  <si>
    <t>mortality</t>
  </si>
  <si>
    <t>treatment</t>
  </si>
  <si>
    <t>oxidative stress</t>
  </si>
  <si>
    <t>stability</t>
  </si>
  <si>
    <t>machine learning</t>
  </si>
  <si>
    <t>cytotoxic activity</t>
  </si>
  <si>
    <t>pregnancy</t>
  </si>
  <si>
    <t>quality of life</t>
  </si>
  <si>
    <t>deep learning</t>
  </si>
  <si>
    <t>children</t>
  </si>
  <si>
    <t>cancer</t>
  </si>
  <si>
    <t>virtual screening</t>
  </si>
  <si>
    <t>culture</t>
  </si>
  <si>
    <t>📝 VERİ SETİ ÖZELLİKLERİ VE KULLANIM ALANLARI</t>
  </si>
  <si>
    <t>🎓 Akademik Araştırma Veritabanı: Bahçeşehir Üniversitesi'ne ait bilimsel makaleler</t>
  </si>
  <si>
    <t>📚 Multidisipliner Yapı: Tıp, mühendislik, bilgisayar bilimleri, eğitim, fizik, matematik</t>
  </si>
  <si>
    <t>🦠 COVID-19 Odağı: Pandemi döneminde üretilen çok sayıda makale</t>
  </si>
  <si>
    <t>🤖 Yapay Zeka Uyumlu: NLP ve makine öğrenmesi uygulamaları için hazırlanmış</t>
  </si>
  <si>
    <t>📊 Kalite Dağılımı: Dengeli Q kategorisi dağılımı</t>
  </si>
  <si>
    <t>💡 POTANSİYEL KULLANIM ALANLARI:</t>
  </si>
  <si>
    <t xml:space="preserve">   • Metin sınıflandırma modelleri eğitimi</t>
  </si>
  <si>
    <t xml:space="preserve">   • Konu modelleme (Topic Modeling)</t>
  </si>
  <si>
    <t xml:space="preserve">   • Bibliyometrik analiz, Akademik trend analizi, NLP/LLM fine-tuning</t>
  </si>
  <si>
    <t>📅 Rapor Oluşturma Tarihi: 19.04.2026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</si>
</sst>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b/>
      <sz val="11"/>
      <color theme="1"/>
      <name val="Aptos Narrow"/>
      <family val="2"/>
      <scheme val="minor"/>
    </font>
    <font>
      <b/>
      <sz val="18"/>
      <color rgb="FF1F4E79"/>
      <name val="Aptos Narrow"/>
      <family val="2"/>
      <scheme val="minor"/>
    </font>
    <font>
      <i/>
      <sz val="12"/>
      <color rgb="FF5B9BD5"/>
      <name val="Aptos Narrow"/>
      <family val="2"/>
      <scheme val="minor"/>
    </font>
    <font>
      <b/>
      <sz val="14"/>
      <color rgb="FFFFFFFF"/>
      <name val="Aptos Narrow"/>
      <family val="2"/>
      <scheme val="minor"/>
    </font>
    <font>
      <i/>
      <sz val="11"/>
      <color theme="1"/>
      <name val="Aptos Narrow"/>
      <family val="2"/>
      <scheme val="minor"/>
    </font>
    <font>
      <i/>
      <sz val="11"/>
      <color rgb="FF808080"/>
      <name val="Aptos Narrow"/>
      <family val="2"/>
      <scheme val="minor"/>
    </font>
  </fonts>
  <fills count="5">
    <fill>
      <patternFill patternType="none"/>
    </fill>
    <fill>
      <patternFill patternType="gray125"/>
    </fill>
    <fill>
      <patternFill patternType="solid">
        <fgColor rgb="FF2E75B6"/>
        <bgColor indexed="64"/>
      </patternFill>
    </fill>
    <fill>
      <patternFill patternType="solid">
        <fgColor rgb="FFD6DCE4"/>
        <bgColor indexed="64"/>
      </patternFill>
    </fill>
    <fill>
      <patternFill patternType="solid">
        <fgColor rgb="FFBDD7EE"/>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0" fontId="4" fillId="2" borderId="0" xfId="0" applyFont="1" applyFill="1"/>
    <xf numFmtId="0" fontId="1" fillId="3" borderId="0" xfId="0" applyFont="1" applyFill="1"/>
    <xf numFmtId="164" fontId="0" fillId="0" borderId="0" xfId="0" applyNumberFormat="1"/>
    <xf numFmtId="0" fontId="1" fillId="4" borderId="0" xfId="0" applyFont="1" applyFill="1"/>
    <xf numFmtId="164" fontId="1" fillId="4" borderId="0" xfId="0" applyNumberFormat="1" applyFont="1" applyFill="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erem\Desktop\hakanproje\test%20(1).csv" TargetMode="External"/><Relationship Id="rId1" Type="http://schemas.openxmlformats.org/officeDocument/2006/relationships/externalLinkPath" Target="test%20(1).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st (1)"/>
      <sheetName val="Veri Analizi Özeti"/>
    </sheetNames>
    <sheetDataSet>
      <sheetData sheetId="0">
        <row r="1">
          <cell r="B1" t="str">
            <v>doi</v>
          </cell>
          <cell r="C1" t="str">
            <v>abstract</v>
          </cell>
          <cell r="E1" t="str">
            <v>category name</v>
          </cell>
          <cell r="F1" t="str">
            <v>keywords</v>
          </cell>
          <cell r="H1" t="str">
            <v>modded_Q_category</v>
          </cell>
        </row>
        <row r="2">
          <cell r="B2" t="str">
            <v>10.1002/JPER.23-0292</v>
          </cell>
          <cell r="C2" t="str">
            <v>"AbstractBackgroundPeriodontal disease is a biofilmâ€dependent chronic inflammatory condition triggered by a host response. Several factors impact systemic inflammation and could lead to changes in disease pathogenesis. Recently, studies have assessed the influence of nutritional patterns on the development of periodontitis. In the present crossâ€sectional study, we evaluated the dietary inflammatory profile on periodontal conditions, focusing on clinical, subgingival microbial, and cytokine assessment of individuals with periodontal health or gingivitis.MethodsOne hundred patients with periodontal health or gingivitis were included. Plaque index (PI), Bleeding on probing (BoP), the probing depth (PD), and the clinical attachment level (CAL) for each patient were assessed. Nutritional data and the Dietary Inflammatory Index (DII) were recorded by two 24â€h food recalls on nonâ€consecutive days. Biofilm and gingival crevicular fluid (GCF) to assess the microbiome profile and inflammatory biomarkers were collected. Multiple regressions focused on the DII, age, and sex as predictors of periodontal conditions were done.ResultsAge and moderate DII scores increased the risk of gingivitis by 1.64 and 3.94 times, respectively. Males with an elevated DII score had 27.15 times higher odds of being diagnosed with gingivitis and BoP (Î²Â =Â 6.54; pÂ =Â 0.03). Elderly patients with a moderate or high DII score were less prone to gingivitis and increased BoP (pÂ &lt;Â 0.04) compared with younger subjects. Considering the DII, there were no differences in microbial alpha and beta diversity; however, distinct species abundance and a higher concentration of monocyteâ€chemoattractant proteinâ€1 and interleukin 33 were seen in patients with a higher DII.ConclusionA proâ€inflammatory diet significantly contributes to periodontal inflammation, modulating inflammatory biomarkers and affecting the subgingival microbial community in healthy individuals."</v>
          </cell>
          <cell r="E2" t="str">
            <v>DENTISTRY, ORAL SURGERY &amp; MEDICINE</v>
          </cell>
          <cell r="F2" t="str">
            <v>biomarkers,diet,gingivitis,microbiota,periodontal index</v>
          </cell>
          <cell r="H2" t="str">
            <v>Q1</v>
          </cell>
        </row>
        <row r="3">
          <cell r="B3" t="str">
            <v>10.1002/ase.2019</v>
          </cell>
          <cell r="C3" t="str">
            <v>"Museums are used in every discipline to collect, classify, and present information for scientific purposes. They also serve as an effective educational medium. Since the establishment of a boutique anatomy museum at BahÃ§eÅŸehir University, lectures, conferences, and seminars have been organized there over the past four years on the history of human anatomy and the human body. In order to raise awareness about the need to make anatomy accessible to kindergarteners and schoolâ€aged children, rather than exclusively to undergraduate students, activities that are suited to a wide range of ages have been developed at the museum and at the anatomy laboratory. Four different sessions were conducted, including activities such as lectures using plastic models as props, shaping organs out of playdough, anatomy puzzles, watching cartoons, and examining specimens through a microscope. Healthy and pathologic anatomies were chosen to match daily themes. Among the kindergarteners and elementary school children, no grading was done, nor was any questionnaire administered; however, a survey was administered in the 10â€“12 age group (NÂ =Â 64). According to the students' written feedback, 93.75% said they â€œare happy with microscope activitiesâ€ while 84.37% said they â€œhad so much funâ€ participating in the playdough activities. However, 18.75% criticized the activities, saying they â€œcould have been longer.â€ In conclusion, it is believed that these â€œgetting to know our bodiesâ€ activities that were hosted in the anatomy museum, including conferences, workshops, material preparation, and instructional movies, may play an important role in the development of a healthy society."</v>
          </cell>
          <cell r="E3" t="str">
            <v>EDUCATION, SCIENTIFIC DISCIPLINES</v>
          </cell>
          <cell r="F3" t="str">
            <v>gross anatomy education,outreach programs,anatomy museums,teaching of anatomy</v>
          </cell>
          <cell r="H3" t="str">
            <v>Q1</v>
          </cell>
        </row>
        <row r="4">
          <cell r="B4" t="str">
            <v>10.1002/bmb.21581</v>
          </cell>
          <cell r="C4" t="str">
            <v>"AbstractLack of motivation of students is a major concern for the instructors and administration in universities, and it is in their interest to address these issues in the most effective and efficient way. The purpose of this explanatory sequential mixedâ€method study is to examine the predictive power of the learning environment on student academic motivation and to learn students' opinions on this issue. One hundred twenty students enrolled at the Molecular Biology and Genetics program completed the Academic Motivation and Learning Environment Perception scales, Quantitative findings indicated that only the activities dimension of the learning environment has a predictive power on academic motivation. Focus group interviews conducted with 16 students validated the quantitative findings. Students particularly drew attention to activities that foster active participation in the learning process, emphasizing the vitality of being engaged and of having realâ€life experiences in their learning environment."</v>
          </cell>
          <cell r="E4" t="str">
            <v>BIOCHEMISTRY &amp; MOLECULAR BIOLOGY|EDUCATION, SCIENTIFIC DISCIPLINES</v>
          </cell>
          <cell r="F4" t="str">
            <v>academic motivation,learning environment,molecular biology and genetics</v>
          </cell>
          <cell r="H4" t="str">
            <v>Q4</v>
          </cell>
        </row>
        <row r="5">
          <cell r="B5" t="str">
            <v>10.1002/brb3.3332</v>
          </cell>
          <cell r="C5" t="str">
            <v>"AbstractBackgroundIt is aimed to examine the potential benefits and effects of the use of transcutaneous auricular vagus nerve stimulation (VNS) for sporting purposes on recovery, fatigue, and sportive performance level.MethodsIn this study, 90 people between the ages of 18â€“23 were participated. They were randomly divided into three groups as bilateral sham, unilateral left, and bilateral VNS. A 4â€day protocol was applied to the participants. Cycling exercise was performed with maximum performance for 30Â min under the same watt load. Pulse, systolic and diastolic blood pressure, distance, pain, fatigue, lactic acid level, and autonomic nervous system were evaluated.ResultsWithin the groups, there was a statistically significant difference between the data (pÂ &lt;Â .05) except for the distance covered parameter. When we compare the groups, in addition to the distance traveled in all groups, there is no statistically significant difference in the 1st day 1st measurement and 2nd measurement data of all parameters (pÂ &gt;Â .05 When we compared the data according to days, there was a statistically significant difference between bilateral stimulation (BS) and unilateral stimulation, only pain and fatigue levels (pÂ &lt;Â .05).ConclusionIn our study, we saw that BS application gave positive results in reducing pain and fatigue due to cycling exercise compared to other applications. Similar results were obtained when we evaluated the data on a daily basis. We believe that VNS will be beneficial in reducing pain and fatigue, especially during and after the competition halftime."</v>
          </cell>
          <cell r="E5" t="str">
            <v>BEHAVIORAL SCIENCES|NEUROSCIENCES</v>
          </cell>
          <cell r="F5" t="str">
            <v>auricular,cycling ergometry,recovery,transcutaneous,vagus nerve stimulation</v>
          </cell>
          <cell r="H5" t="str">
            <v>Q2</v>
          </cell>
        </row>
        <row r="6">
          <cell r="B6" t="str">
            <v>10.1002/cbdv.202100530</v>
          </cell>
          <cell r="C6" t="str">
            <v>"AbstractIn the current study, starting from 4â€methoxyaniline, four Schiff bases were synthesized from benzaldehydes with Br and OMe. Corresponding Nâ€benzylanilines and their derivatives were obtained from reductions (by NaBH4) and substitutions (by acyl and tosyl chlorides) of these bases, respectively. The inhibitory effects of the sixteen compounds, twelve of which were novel compounds are examined. Then, we conducted molecular docking and binary QSAR studies to determine inhibitoryâ€enzyme interactions of compounds that show an inhibitory effect. Our results reveal that methoxyanillineâ€derived compounds show good biological activities. The most active compound (22) has IC50 values of 2.83â€…Î¼M. These novel AR enzyme inhibitors may open new avenues for better AR inhibitors in the future."</v>
          </cell>
          <cell r="E6" t="str">
            <v>BIOCHEMISTRY &amp; MOLECULAR BIOLOGY|CHEMISTRY, MULTIDISCIPLINARY</v>
          </cell>
          <cell r="F6" t="str">
            <v>aldose reductase,bromophenol derivatives,molecular docking,N-substituted anilines,molecular modeling</v>
          </cell>
          <cell r="H6" t="str">
            <v>Q3</v>
          </cell>
        </row>
        <row r="7">
          <cell r="B7" t="str">
            <v>10.1002/cbdv.202200884</v>
          </cell>
          <cell r="C7" t="str">
            <v>"AbstractIn this study, starting from 2â€aminoâ€1,3,4â€thiadiazole derivatives (3â€“5), a new series of 2,6â€disubstituted (compounds 7â€“15) and 2,5,6â€trisubstituted (compounds 16â€“33) imidazo[2,1â€b][1,3,4]â€thiadiazole derivatives were synthesized using cyclization and Mannich reaction mechanisms, respectively. All synthesized compounds were characterized by 1Hâ€NMR, 13Câ€NMR, FTâ€IR, elemental analysis, and mass spectroscopy techniques. Also, Xâ€ray diffraction analysis were used for compounds 4, 7, 11, 17, and 19. The cytotoxic effects of the new compounds on the viability of colon cancer cells (DLDâ€1), lung cancer cells (A549), and liver cancer cells (HepG2) were investigated using the 3â€(4,5â€dimethylthiazolâ€2â€yl)â€2,5â€diphenyltetrazolium bromide (MTT) method inâ€…vitro. Compound 15 was found to be the most potent anticancer drug candidate in this series with an IC50 value of 3.63â€…Î¼M against HepG2 for 48â€…h. Moreover, the absorption, distribution, metabolism, and excretion (ADME) parameters of the synthesized compounds were calculated and thus, their potential to be safe drugs was evaluated. Finally, to support the biological activity experiments, molecular docking studies of these compounds were carried out on three different target cancer protein structures (PDB IDs: 5ETY, 1M17, and 3GCW), and the amino acids that play key roles in the binding of the compounds to these proteins were determined."</v>
          </cell>
          <cell r="E7" t="str">
            <v>BIOCHEMISTRY &amp; MOLECULAR BIOLOGY|CHEMISTRY, MULTIDISCIPLINARY</v>
          </cell>
          <cell r="F7" t="str">
            <v>antiproliferative activity,bioorganic chemistry,cytotoxicity,heterocycles,ADME</v>
          </cell>
          <cell r="H7" t="str">
            <v>Q3</v>
          </cell>
        </row>
        <row r="8">
          <cell r="B8" t="str">
            <v>10.1002/cbdv.202300896</v>
          </cell>
          <cell r="C8" t="str">
            <v>"AbstractHeterocyclic compounds are found in a variety of drug molecules, and bioactive natural products. 4â€Thiazolidinones (4â€TZDs), which represent an important class of heterocyclic compounds, are of great interest today with their diverse bioactivities. In this study, ten novel 4â€TZD derivatives (C1â€“C10) were synthesized, characterized by spectroscopic techniques, and their genotoxic, and antigenotoxic properties were investigated inâ€…vitro using the Ames Salmonella/microsome mutagenicity assay in the concentration range of 0.2â€“1.0â€…mM/plate. The results revealed that none of the compounds were mutagenic on the three different Salmonella typhimurium strains up to the highest concentration tested. Furthermore, in our study, C1, C4, C6, and C9 showed significant, ranging from moderate to strong, antigenotoxic effects against mutagenâ€induced DNA damage at relatively higher doses. Among these, C4 had the best potential to inhibit the number of revertant colonies induced by 9â€aminoacridine (9â€AA), with a maximum inhibition rate of 47.9â€‰% for 1.0â€…mM/plate. As a result, preliminary knowledge about the safety of the use of ten novel synthesized 4â€TZD compounds likely to exhibit many bioactivities was obtained in this study. In addition, the significant inâ€…vitro antimutagenic activity of some derivatives increases the importance of studies for the development of new pharmacological agents for cancer prevention."</v>
          </cell>
          <cell r="E8" t="str">
            <v>BIOCHEMISTRY &amp; MOLECULAR BIOLOGY|CHEMISTRY, MULTIDISCIPLINARY</v>
          </cell>
          <cell r="F8" t="str">
            <v>Ames/Salmonella test,genotoxicity,antigenotoxicity,chemoprevention,4-thiazolidinone</v>
          </cell>
          <cell r="H8" t="str">
            <v>Q3</v>
          </cell>
        </row>
        <row r="9">
          <cell r="B9" t="str">
            <v>10.1002/ccd.29376</v>
          </cell>
          <cell r="C9" t="str">
            <v>"AbstractBackgroundLeft atrial appendage occlusion (LAAO) using Watchman device has become a worldâ€wide, wellâ€established therapeutic alternative to chronic systemic oral anticoagulation in patient who are at highâ€risk of bleeding with paroxysmal (PAF) or chronic atrial fibrillation (Afib). Currently, LAAO procedures are performed under general anesthesia (GA) and patients stay overnight post procedure in the United States. We aimed to present the effectiveness and safety of same day discharge following LAAO under moderate conscious sedation (MCS) in patients without procedural complications.MethodsA total of 112 patients between August 2019 and May 2020 with elevated CHA2DS2VASc (median score of 3) underwent transesophageal echocardiography (TEE)â€guided LAAO with FDA approved Watchman (Boston Scientific, MN) under MCS and discharged home on the same day 6â€‰hr following their post procedural transthoracic echocardiogram (TTE) evaluations. All patients had next day TTE and follow up at the cardiology clinic. We prospectively evaluated clinical and procedural outcomes using medical records of these patients.ResultsAmong all the patients, the mean age was 83.5â€‰Â±â€‰8.5â€‰years, 45 (40%) were women. Procedural duration, device implant time and fluoroscopic times were 45 Â±â€‰8.6, 14.5â€‰Â±â€‰7.8 and 10.2â€‰Â±â€‰1.2â€‰min, respectively. The median required dosage of propofol was 105â€‰Â±â€‰2.8â€‰mg. No complications arose from MCS. There was no need for conversion to GA in any of the patients during the procedure. All patients were able to be discharged 6â€‰hr following their TTE evaluation post procedure. There were no procedural complications.ConclusionsSame day discharge following LAAO closure seems to be safe and effective in patients without procedural complications. LAAO can also be performed safely and effectively under moderate conscious sedation. Applying moderate conscious sedation may simplify the LAAO procedure, reduce procedural time, procedural costs and hospital stay while increasing overall patient satisfaction."</v>
          </cell>
          <cell r="E9" t="str">
            <v>CARDIAC &amp; CARDIOVASCULAR SYSTEMS</v>
          </cell>
          <cell r="F9" t="str">
            <v>anesthesia,conscious sedation,left atrial appendage closure,transcatheter</v>
          </cell>
          <cell r="H9" t="str">
            <v>Q3</v>
          </cell>
        </row>
        <row r="10">
          <cell r="B10" t="str">
            <v>10.1002/ccr3.7510</v>
          </cell>
          <cell r="C10" t="str">
            <v>"Key Clinical MessageAdultâ€onset Still's disease is a rare inflammatory condition with diverse clinical features. Yamaguchi criteria aid diagnosis, and pleural effusion and elevated ferritin levels are important markers. Steroids are the firstâ€line treatment.AbstractAdultâ€onset Still's disease (AOSD) is a rare systemic inflammatory condition with an unknown etiology. It is characterized by, spiking fever, arthritis, evanescent rash, sore throat, serositis, hepatomegaly, splenomegaly, and lymphadenopathy. It is a diagnosis of exclusion and has infections, systemic autoimmune and inflammatory rheumatic diseases, malignancy, and adverse drug reactions as its differential diagnosis. Because of these characteristics, diagnosis is frequently delayed, posing a significant challenge for physicians. While several classification criteria can be used to diagnose Still's disease, they have limitations in terms of sensitivity and specificity. The Yamaguchi criteria are considered the most sensitive and commonly used, requiring the presence of at least five characteristics, with at least two being major diagnostic criteria. Steroid therapy is the firstâ€line treatment for AOSD patients. In this case report, we present a 56â€yearâ€old female patient who developed pleurisy a few months after a car accident, subsequently diagnosed with adultâ€onset Still's disease."</v>
          </cell>
          <cell r="E10" t="str">
            <v>MEDICINE, GENERAL &amp; INTERNAL</v>
          </cell>
          <cell r="F10" t="str">
            <v>adult-onset Still's disease,fever of unknown origin,pleural effusion</v>
          </cell>
          <cell r="H10" t="str">
            <v>Q3</v>
          </cell>
        </row>
        <row r="11">
          <cell r="B11" t="str">
            <v>10.1002/chir.23512</v>
          </cell>
          <cell r="C11" t="str">
            <v>"AbstractThe chirality of molecules is a concept that explains the interactions in nature. We may observe the same formula but different organizations revolving around the chiral center. Since Pasteur's meticulous observation of sodium ammonium tartrate crystals' structure, scientists have discovered many features of chiral molecules. The number of newly approved single enantiomeric drugs increases every year and takes place in the market. Thus, separation or resolution methods of racemic mixtures are of continued importance in the efficacy of drugs, installation of affordable production processes, and convenient synthetic chemistry practice. This article presents the asymmetric synthesis approaches and the classification of direct resolution methods of chiral molecules."</v>
          </cell>
          <cell r="E11" t="str">
            <v>CHEMISTRY, ANALYTICAL|CHEMISTRY, MEDICINAL|CHEMISTRY, ORGANIC|PHARMACOLOGY &amp; PHARMACY</v>
          </cell>
          <cell r="F11" t="str">
            <v>asymmetric synthesis,chiral pool,chirality,racemic mixture,resolution</v>
          </cell>
          <cell r="H11" t="str">
            <v>Q3</v>
          </cell>
        </row>
        <row r="12">
          <cell r="B12" t="str">
            <v>10.1002/cmdc.202000675</v>
          </cell>
          <cell r="C12" t="str">
            <v>"AbstractThe ubiquitinâ€specific protease 7 (USP7) is a highly promising wellâ€validated target for a variety of malignancies. USP7 is critical in regulating the tumor suppressor p53 along with numerous epigenetic modifiers and transcription factors. Previous studies showed that USP7 inhibitors led to increased levels of p53 and antiâ€proliferative effects in hematological and solid tumor cell lines. Thus, this study aimed to identify potent and safe USP7 hit inhibitors as potential antiâ€cancer therapeutics via an integrated computational approach that combines pharmacophore modeling, molecular docking, molecular dynamics (MD) simulations and postâ€MD free energy calculations. In this study, the crystal structure of USP7 has been extensively investigated using a combination of three different chemical pharmacophore modeling approaches. We then screened âˆ¼220.000 drugâ€like small molecule library and the hit ligands predicted to be nontoxic were evaluated further. The identified hits from each pharmacophore modeling study were further examined by 1â€ns short MD simulations and MM/GBSA free energy analysis. In total, we ran 1â€…ns MD simulations for 1137 selected on small compounds. Based on their average MM/GBSA scores, 18â€…ligands were selected for 50â€…ns MD simulations along with one highly potent USP7 inhibitor used as a positive control. The inâ€…vitro enzymatic inhibition assay testing of our lead 18â€…molecules confirmed that 7 of these molecules were successful in USP7 inhibition. Screening results showed that within the used screening approaches, the most successful one was structureâ€based pharmacophore modeling with the success rate of 75â€‰%. The identification of potent and safe USP7 small molecules as potential inhibitors is a step closer to finding appropriate effective therapies for cancer. Our lead ligands can be used as a scaffold for further structural optimization and development, enabling further research in this promising field."</v>
          </cell>
          <cell r="E12" t="str">
            <v>CHEMISTRY, MEDICINAL|PHARMACOLOGY &amp; PHARMACY</v>
          </cell>
          <cell r="F12" t="str">
            <v>cancer,drug design,inhibitors,pharmacophores,ubiquitin specific protease 7 (USP7)</v>
          </cell>
          <cell r="H12" t="str">
            <v>Q2</v>
          </cell>
        </row>
        <row r="13">
          <cell r="B13" t="str">
            <v>10.1002/er.5453</v>
          </cell>
          <cell r="C13" t="str">
            <v>"The Fixed Bed Nuclear Reactor (FBNR) is a modular reactor for small energy needs (70â€120â€‰MWel). FBNR is pressurized water reactor, but uses GENâ€IV reactors fuel. UO2 kernels of 500â€‰Î¼m diameter with 25â€‰Î¼m thick SiC cladding are embedded in graphite matrix form the spherical fuel elements with a diameter of 15â€‰mm and covered by 300â€‰Î¼m thick Zircaloyâ€4 cladding. FBNR has high level safety features and operates without Onâ€site Refueling. Approximately 1.62 million spherical fuel elements are suspended in a core height of 200â€‰cm and inner and outer diameters of 32â€‰cm and 224â€‰cm by upwards flowing light water coolant with 280Â°C entry and 340Â°C exit temperatures. The unit lattice geometry is dodecahedron with fuel element in center and surrounded with light water coolantâ€moderator.In the present work, 9% enriched UO2 fuel is used. Neutronic analysis has been performed with the MCNPXâ€2.7.0 code. As, it is not practical to tackle millions of fuel elements separately, at first run unit fuel cell calculations are performed in spherical geometry for one single lattice consisting of separate fuel, cladding and volumeâ€equivalent moderator regions. In the second run, the fuel cell is homogenized. Infinite cell calculations have been executed for variable moderator/fuel (H/235U) ratios in order to determine underâ€ and overâ€moderated criticality values. The criticality values for the homogenized cell geometry are slightly lower and remains &lt;5% range, that is, on the conservative side, which is acceptable for the purpose of this study. This allows us to homogenize the entire core for the full 3â€D reactor with core and reflector regions. Reactor criticality increases with increasing H/235U ratios in the, under moderated region, where H/235U = 18 is selected for further investigations. Temporal variation of the reactor criticality is pursued for full reactor power of 210â€‰MWth (~70â€‰MWel net) with keff = 1.36 at the beginning of life down to keff = 1.02 over 1260â€‰days with a plant factor of 1.0. The final fuel burn up was found as 57.3â€‰GWd/ton."</v>
          </cell>
          <cell r="E13" t="str">
            <v>ENERGY &amp; FUELS|NUCLEAR SCIENCE &amp; TECHNOLOGY</v>
          </cell>
          <cell r="F13" t="str">
            <v>fixed bed nuclear reactor,nuclear energy,small modular reactor,TRISO fuel,uranium oxide</v>
          </cell>
          <cell r="H13" t="str">
            <v>Q1</v>
          </cell>
        </row>
        <row r="14">
          <cell r="B14" t="str">
            <v>10.1002/er.5708</v>
          </cell>
          <cell r="C14" t="str">
            <v>"In this study, both pure fusion blanket and fusionâ€fission (hybrid) reactor blanket performance were investigated and discussed separately in two phases. In the first phase, a Monte Carlo radiation damage analysis has been performed for stainless steel (SS304, SS316, and oxide dispersion strengthened (ODS)), molybdenum, vanadium, and tungsten as the first wall (FW) materials, in combination with selected tritium breeders. The main technical parameters for fusion reactors, such as tritium breeding ratio, fusion energy multiplication factor (M), displacement per atom (DPA), and gas production (He, H) have been evaluated. All numerical calculations have been carried out in spherical geometry with MCNP6 code package using continuous energy crossâ€sections from the ENDF/Bâ€VIII.0 library, except DPA calculations. Instead of the ENDF/Bâ€VIII.0 library, the 30â€group CLAWâ€IV library was employed for DPA calculations. Structural material selection for the FW respect to radiation damage limits and reactor performance for energy production and tritium has been concluded. Conventional thermal reactors, such as light water reactors andCanada Deuterium Uranium (CANDU) reactors are producing substantial quantities of transuranic elements, which represent serious nuisance and permanent hazard potential. On the other hand, they become fissionable material under high energetic fusion neutron irradiation and multiply the fusion energy. In the second phase, the investigations are extended to the incineration of minor actinides (MA) in the fusionâ€fission (hybrid) mode. The transmutation history of MA nuclear waste is included. MA are added into the first zone of the coolant in TRiâ€structural ISOtropic particle TRISO particles with a volume fraction of 6%. The transformation scenario for all MA by SS 304 steel FW is practically the same as with the ODS FW."</v>
          </cell>
          <cell r="E14" t="str">
            <v>ENERGY &amp; FUELS|NUCLEAR SCIENCE &amp; TECHNOLOGY</v>
          </cell>
          <cell r="F14" t="str">
            <v>energy multiplication,fusion reactors,material damage,minor actinides,tritium breeding</v>
          </cell>
          <cell r="H14" t="str">
            <v>Q1</v>
          </cell>
        </row>
        <row r="15">
          <cell r="B15" t="str">
            <v>10.1002/er.6562</v>
          </cell>
          <cell r="C15" t="str">
            <v>"Utilizing wasteâ€toâ€energy (WtE) technologies is becoming crucial in today's world where energy sources are scarce. Despite the fact that WtE technologies (incineration, gasification, pyrolysis, anaerobic digestion, and landfill gas recovery) have been analyzed thoroughly in the literature regarding their efficiency rates in treating waste, the applicability of each method to different waste compositions and in various economic environments has not been considered before. In this study, this issue is investigated by modeling and solving a mixed integer programming model. The model is illustrated in three settings, namely Turkey, Brazil, and Germany, each of which is an example of a lower middle income, upper middle income, and a high income country, respectively. The findings of the optimization model suggest that plasmaâ€arc gasification and advanced incineration stand out as the most efficient technologies to create the WtE conversion, provided that there are sufficient funds to build and run these facilities. If there are economic restraints, anaerobic digestion could be a more costâ€effective way to create energy from waste. However, the solutions can be highly dependent on the parameters of the problem, as indicated in the results of the sensitivity analysis performed. In particular, if CO2 emissions are a big concern, the optimization model favors more of plasmaâ€arc and pyrolysis technologies."</v>
          </cell>
          <cell r="E15" t="str">
            <v>ENERGY &amp; FUELS|NUCLEAR SCIENCE &amp; TECHNOLOGY</v>
          </cell>
          <cell r="F15" t="str">
            <v>mixed integer programming,municipal solid waste management,optimization,waste&amp;#8208,to&amp;#8208,energy</v>
          </cell>
          <cell r="H15" t="str">
            <v>Q1</v>
          </cell>
        </row>
        <row r="16">
          <cell r="B16" t="str">
            <v>10.1002/er.8350</v>
          </cell>
          <cell r="C16" t="str">
            <v>"SummaryIn recent years, there has been much focus on how the structure and morphology of CoMn2O4 materials influence their electrochemical performance. Herein we introduce a KOHâ€surfactant agent to form a hexagonal likeâ€CoMn2O4 via hydrothermal. The Xâ€ray Rietveld refinement evidenced that spinel CoMn2O4 with the tetragonal structured I 41/amd phase. Further, the chemical environment of this phase is identified using various techniques. Surface morphology studies revealed hexagonalâ€like features. Owing to its features, the material delivers an excellent capacitance of 638.8Â F/g. CoMn2O4 also shows attained columbic efficiency of 81% and retains a capacitance of 85% after 4000 chargeâ€discharge cycles. The excellent cyclic stability and high performance are achieved due to the more active sites and convenient electronic transference route for the ions through an electrochemical process. The symmetrical twoâ€electrode assembly has also been fabricated. Hence, we believed that the surfactantâ€KOH mediated hexagonalâ€likeâ€CoMn2O4 material should enhance the supercapacitor properties."</v>
          </cell>
          <cell r="E16" t="str">
            <v>ENERGY &amp; FUELS|NUCLEAR SCIENCE &amp; TECHNOLOGY</v>
          </cell>
          <cell r="F16" t="str">
            <v>electrochemical performance,electrode CoMn2O4,hexagonal,hydrothermal,supercapacitor</v>
          </cell>
          <cell r="H16" t="str">
            <v>Q1</v>
          </cell>
        </row>
        <row r="17">
          <cell r="B17" t="str">
            <v>10.1002/glia.24429</v>
          </cell>
          <cell r="C17" t="str">
            <v>"AbstractThe expressions of ion channels by MÃ¼ller glial cells (MGCs) may change in response to various retinal pathophysiological conditions. There remains a gap in our understanding of MGCs' responses to photoreceptor degeneration towards finding therapies. The study explores how an inhibition of storeâ€operated Ca2+ entry (SOCE) and its major component, Orai1 channel, in MGCs protects photoreceptors from degeneration. The study revealed increased Orai1 expression in the MGCs of retinal degeneration 10 (rd10) mice. Enhanced expression of oxidative stress markers was confirmed as a crucial pathological mechanism in rd10 retina. Inducing oxidative stress in rat MGCs resulted in increasing SOCE and Ca2+ releaseâ€activated Ca2+ (CRAC) currents. SOCE inhibition by 2â€Aminoethoxydiphenyl borate (2â€APB) protected photoreceptors in degenerated retinas. Finally, molecular simulations proved the structural and dynamical features of 2â€APB to the target structure Orai1. Our results provide new insights into the physiology of MGCs regarding retinal degeneration and shed a light on SOCE and Orai1 as new therapeutic targets."</v>
          </cell>
          <cell r="E17" t="str">
            <v>NEUROSCIENCES</v>
          </cell>
          <cell r="F17" t="str">
            <v>MD simulations,molecular docking,Muller glial cells,Orai1,oxidative stress,retina,retinal degeneration,SOCE</v>
          </cell>
          <cell r="H17" t="str">
            <v>Q1</v>
          </cell>
        </row>
        <row r="18">
          <cell r="B18" t="str">
            <v>10.1002/ijgo.13577</v>
          </cell>
          <cell r="C18" t="str">
            <v>"AbstractObjectiveTo evaluate rates of contraceptive discontinuation and method switching and examine their determinants in Istanbul, Turkey, because discontinuation of modern contraception leading to unintended pregnancy is a public health concern.MethodsWe conducted a crossâ€sectional household survey between March and June 2018 among 4224 married women of reproductive age (16â€“44Â years). Information on contraceptive use and discontinuation for the 31Â months preceding the survey was recorded in a monthly calendar. Using single and multiple decrement lifeâ€table methods, we calculated the overall discontinuation and the causeâ€specific discontinuation rates.ResultsThe 12â€month overall discontinuation rate was 12.32%. Intrauterine devices had the lowest discontinuation rate (7.12%). The most common reasons for discontinuation were the desire to become pregnant (6.56%) and method failure (2.76%). One in three episodes of discontinuation was not followed by method switching (32.16%). Age, education, and the method type were predictive of contraceptive discontinuation.ConclusionTo reduce method failure, women should be provided with information about method effectiveness, correct use of methods, and what to do if they anticipate their method failed (e.g., emergency contraception). Programs should focus on improving knowledge about discontinuation and method failure. Contraceptive counseling should also emphasize timely switching to an effective method after discontinuation."</v>
          </cell>
          <cell r="E18" t="str">
            <v>OBSTETRICS &amp; GYNECOLOGY</v>
          </cell>
          <cell r="F18" t="str">
            <v>contraceptive discontinuation,contraceptive use episode,method failure,Turkey</v>
          </cell>
          <cell r="H18" t="str">
            <v>Q2</v>
          </cell>
        </row>
        <row r="19">
          <cell r="B19" t="str">
            <v>10.1002/ijgo.14814</v>
          </cell>
          <cell r="C19" t="str">
            <v>"AbstractObjectiveTo investigate the role of intrapartum ultrasound (IU) in the diagnosis of asynclitism and the importance of asynclitism degree in labor outcomes.MethodThis prospective cohort study included 41 lowâ€risk pregnant women with fetus in singletonâ€vertex. The IU assessment to diagnose asynclitism was performed during labor at two specific steps, including the suspicion and/or diagnosis of labor arrest. The â€œfourâ€chamber viewâ€ and â€œsquint sign without noseâ€ were classified as marked/severe asynclitism. The â€œmidline deviationâ€ and â€œsquint sign with noseâ€ findings were classified as moderate asynclitism. Obstetric outcomes and maternalâ€fetal complications were compared with the degree of asynclitism.ResultsSevere and moderate asynclitism was seen in 17 (41.7%), 10 (58.8%) and seven (41.2%) women, respectively. All pregnant women diagnosed with asynclitism delivered by vacuum extraction (VE) or cesarean section (CS). CS was performed in nine patients with asynclitism (52.9%). The difference between asynclitism type and VE/CS ratios was statistically significant (Pâ€‰=â€‰0.039). Four fetuses with squint sign without nose delivered by VE. A significant correlation was seen between the presence of squint without nose sign and secondâˆ’/thirdâ€degree perineal injury.ConclusionSevere asynclitism is associated with increasing operative birth and maternalâ€fetal complications. Detection of asynclitism degree by IU could be useful, alerting the obstetrics team to possible perinatal problems during delivery."</v>
          </cell>
          <cell r="E19" t="str">
            <v>OBSTETRICS &amp; GYNECOLOGY</v>
          </cell>
          <cell r="F19" t="str">
            <v>asynclitism,dystocia,intrapartum ultrasound,labor,operative delivery</v>
          </cell>
          <cell r="H19" t="str">
            <v>Q2</v>
          </cell>
        </row>
        <row r="20">
          <cell r="B20" t="str">
            <v>10.1002/jat.4471</v>
          </cell>
          <cell r="C20" t="str">
            <v>"AbstractAlzheimer's disease (AD) is a neurodegenerative disorder that causes memory loss and dementia and is characterized by a decline in cognitive functions. Brain infections, especially induced by herpes simplex virus typeâ€1 (HSVâ€1), are suggested to play a key role in the pathogenesis of AD. Within the scope of this study, two different AD models (Tau model and amyloid beta [AÎ²]) were created in the SHâ€SY5Y cell line, and HSV glycoprotein B (gB) was applied to the cell line and on the generated AD models. Study groups (nâ€‰=â€‰3) were designed as (1) control, (2) HSVâ€gB group, (3) retinoic acid (RA) and brain derived neurotrophic factor (BDNF) induced Alzheimer's model (AD), (4) RA and BDNF induced Alzheimer's modelâ€‰+â€‰HSVâ€gB (ADH), (5) AÎ² 1â€42 peptideâ€induced Alzheimer's model (AÎ²), and (6) AÎ² 1â€42 peptideâ€induced Alzheimer's modelâ€‰+â€‰HSVâ€gB (AÎ²H). Levels of complement proteins and cytokines were determined comparatively. In addition, specific markers of AD (hyperphosphorylated Tau proteins, AÎ² 1â€40 peptide and amyloid precursor protein) were measured in all groups. HSVâ€gB administration was found to increase AÎ² and hyperphosphorylated Tau levels, similar to AD models. In addition, our data confirmed that the immune system and chronic inflammation might have a crucial role in AD development and that HSVâ€1 infection might also be an underlying factor of AD."</v>
          </cell>
          <cell r="E20" t="str">
            <v>TOXICOLOGY</v>
          </cell>
          <cell r="F20" t="str">
            <v>Alzheimer's disease,complement system,herpes simplex virus type 1,neurodegeneration</v>
          </cell>
          <cell r="H20" t="str">
            <v>Q2</v>
          </cell>
        </row>
        <row r="21">
          <cell r="B21" t="str">
            <v>10.1002/jcaf.22610</v>
          </cell>
          <cell r="C21" t="str">
            <v>"AbstractAlthough the relationship between tax avoidance and corporate social responsibility has been the subject of many studies, results have been inconclusive. In this study, we investigate this relationship from the agency perspective of family firms. Using 1156 firmâ€year observations from 94 firms listed on the Istanbul Stock exchange, we found that socially responsible nonâ€family firms engage in tax avoidance activities through discretionary bookâ€tax differences rather than tax avoidance through aggressive tax planning and tax sheltering, and this behavior is opposite in family firms. According to findings, family firms engage in more aggressive tax planning than nonâ€family firms. This study also provides evidence about the external effects on the relationship between CSR and tax avoidance when family firms are monitored effectively by institutional investors or debtors. More specifically, external monitoring by institutional investors or debtors only affects the tax avoidance behaviors of nonâ€family firms."</v>
          </cell>
          <cell r="E21" t="str">
            <v>BUSINESS, FINANCE</v>
          </cell>
          <cell r="F21" t="str">
            <v>ethics,family firms,risk management,social responsibility,tax avoidance</v>
          </cell>
          <cell r="H21" t="str">
            <v>Q3</v>
          </cell>
        </row>
        <row r="22">
          <cell r="B22" t="str">
            <v>10.1002/jcsm.12839</v>
          </cell>
          <cell r="C22" t="str">
            <v>"AbstractSarcopenia or muscle wasting is a progressive and generalized skeletal muscle disorder involving the accelerated loss of muscle mass and function, often associated with muscle weakness (dynapenia) and frailty. Whereas primary sarcopenia is related to ageing, secondary sarcopenia happens independent of age in the context of chronic disease states such as chronic kidney disease (CKD). Sarcopenia has become a major focus of research and public policy debate due to its impact on patient's healthâ€related quality of life, healthâ€care expenditure, morbidity, and mortality. The development of sarcopenia in patients with CKD is multifactorial and it may occur independently of weight loss or cachexia including under obese sarcopenia. Hormonal imbalances can facilitate the development of sarcopenia in the general population and is a common finding in CKD. Hormones that may influence the development of sarcopenia are testosterone, growth hormone, insulin, thyroid hormones, and vitamin D. Although the relationship between free testosterone level that is low in uraemic patients and sarcopenia in CKD is not wellâ€defined, functional improvement may be seen. Unlike testosterone, it is known that vitamin D is associated with muscle strength, muscle size, and physical performance in patients with CKD. Outcomes after vitamin D replacement therapy are still controversial. The halfâ€life of growth hormone (GH) is prolonged in patients with CKD. Besides, IGFâ€1 levels are normal in patients with Stage 4 CKDâ€”a minimal reduction is seen in the endâ€stage renal disease. Unresponsiveness or resistance of IGFâ€1 and changes in the GH/IGFâ€1 axis are the main causes of sarcopenia in CKD. Low serum T3 level is frequent in CKD, but the net effect on sarcopenia is not wellâ€studied. CKD patients develop insulin resistance (IR) from the earliest period even before GFR decline begins. IR reduces glucose utilization as an energy source by hepatic gluconeogenesis, decreasing muscle glucose uptake, impairing intracellular glucose metabolism. This cascade results in muscle protein breakdown. IR and sarcopenia might also be a new pathway for targeting. Ghrelin, oestrogen, cortisol, and dehydroepiandrosterone may be other players in the setting of sarcopenia. In this review, we mainly examine the effects of hormonal changes on the occurrence of sarcopenia in patients with CKD via the available data."</v>
          </cell>
          <cell r="E22" t="str">
            <v>GERIATRICS &amp; GERONTOLOGY|MEDICINE, GENERAL &amp; INTERNAL</v>
          </cell>
          <cell r="F22" t="str">
            <v>Sarcopenia,Chronic kidney disease,Hormones,Cachexia,COVID-19</v>
          </cell>
          <cell r="H22" t="str">
            <v>Q1</v>
          </cell>
        </row>
        <row r="23">
          <cell r="B23" t="str">
            <v>10.1002/jdd.12385</v>
          </cell>
          <cell r="C23" t="str">
            <v>"AbstractIntroductionArtificial Intelligence (AI) is a burning topic and use of AI in our dayâ€toâ€day life has increased exponentially. The purpose of this study was to evaluate the attitudes and perceptions of Turkish dental students towards AI and to provide information about their opinions to use of AI in dentistry.MethodsA 22â€question survey was distributed through Google Forms to all dental students at 9 Turkish dental schools in March 2019. It consisted of various sections aiming to evaluate the dental studentsâ€™ knowledge and attitudes toward AI and possible applications in dentistry. Respondentsâ€™ anonymity was ensured.ResultsA total of 1103 students (650 female, 453 male; mean age was 21.36 Â± 1.93 years) responded to the questionnaire for a 21.69% response rate. Of these, about 48.40% had basic knowledge about AI technologies and 10.6% stated that they had no information sources about AI. 85.70% agreed that dentistry would be revolutionized by AI but 28.60% did not agree that AI could replace themselves in the near future. In addition, 74.60% and 79.80% of agreed on topics about AI to be included in undergraduate and postgraduate dental education, respectively.ConclusionsAlthough participants have insufficient knowledge of AI, they are willing to improve their knowledge in this field. Participants shared an optimistic views and thought that AI will have a positive impact on dental future practice. Followâ€up surveys and multinational studies should be conducted to further explore these issues."</v>
          </cell>
          <cell r="E23" t="str">
            <v>DENTISTRY, ORAL SURGERY &amp; MEDICINE</v>
          </cell>
          <cell r="F23" t="str">
            <v>artificial intelligence,attitudes,awareness,dental student</v>
          </cell>
          <cell r="H23" t="str">
            <v>Q3</v>
          </cell>
        </row>
        <row r="24">
          <cell r="B24" t="str">
            <v>10.1002/jdd.13165</v>
          </cell>
          <cell r="C24" t="str">
            <v>"AbstractObjectivesThe aim of this study was to compare the ability of undergraduate students to reach working length (WL) in second mesiobuccal root canals (MB2) of maxillary first molars (nÂ =Â 210) by using Reciproc Blue without glide path preparation, and One Curve with glide path preparation.MethodsThe students (nÂ =Â 105) attended theoretical and practical courses. The first group (nÂ =Â 53) shaped MB2 root canals using the One Curve system and then Reciproc Blue; the second group (nÂ =Â 52) shaped MB2 root canals following the reverse sequence. Participants completed a questionnaire. The chiâ€square and Mannâ€“Whitney U test were used for statistical analysis using significance of pÂ &lt;Â 0.05.ResultsThe full WL was reached and shaping procedures were completed without complications in Reciproc Blue and One Curve groups at rates of 86.67% and 82.85%, respectively (pÂ &gt;Â 0.05). Treatment time was shorter in Reciproc Blue (pÂ &lt;Â 0.05). More (62.9%) students felt the One Curve system safer, while 61% felt the Reciproc Blue system faster.ConclusionsWithin the limitations of this study, instrument kinematics and glide path preparation did not interfere with undergraduate studentsâ€™ ability to achieve the WL in MB2 root canals."</v>
          </cell>
          <cell r="E24" t="str">
            <v>DENTISTRY, ORAL SURGERY &amp; MEDICINE</v>
          </cell>
          <cell r="F24" t="str">
            <v>dental,education,endodontics,glide path,One Curve,Reciproc Blue,students</v>
          </cell>
          <cell r="H24" t="str">
            <v>Q3</v>
          </cell>
        </row>
        <row r="25">
          <cell r="B25" t="str">
            <v>10.1002/jemt.24078</v>
          </cell>
          <cell r="C25" t="str">
            <v>"AbstractTo evaluate the cariesâ€affected dentin and compositeâ€resin interface with scanning electron microscopy (SEM) after different caries removal methods in human molars. Twelve with extensive approximal caries lesions that did not reach the pulp and five cariesâ€free molars (control group [CG]) were used. Carious teeth were divided into four experimental groups: Atraumatic Restorative Treatment (ART), Rotary Instrument (RI), Photoâ€Ablation, and Papainâ€Based Enzymatic Gel (Brix 3000Â®, Brix, Brazil). Class II slot cavities were prepared with RI in the CG. Then all caries removed teeth and control groups were restored (Allâ€Bond Universal, BISCO, USA; Clearfil MajestyESâ€2, Kuraray, Japan). Specimens were prepared for SEM examinations. Hybrid layer (HL) thicknesses were measured using ImageJ programme. Gap measurements were performed with microâ€CT. Data were analyzed with ANOVA and posthoc Dunnett's tâ€tests (pâ€‰&lt;Â .05). The highest HL thickness was found in Photoâ€Ablation Group, and a statistically significant difference was observed among the control and experimental groups (pâ€‰&lt;â€‰.05). The lowest HL thickness was measured in the Enzymatic Gel Group. In terms of internal gap formation, CG showed statistically significant differences compared to the other groups (pâ€‰&lt;â€‰.05). The highest internal gap was observed in RI Group, while the lowest gap was observed in CG. According to SEM, a uniform HL and resin tags were seen in the CG. Smear layer, irregular HL, and gap formation were observed in ART Group. In RI Group, nonuniform HL formation and resin tags were observed. In Photoâ€Ablation Group, a uniform HL without smear layer and internal gap was observed. In the Enzymatic Gel Group, both opened dentinal tubules, and meltingâ€like formations were observed on the dentin surface. Especially meltingâ€like formations were observed in peritubular dentin. It can be concluded that all caries removal methods except rotary instrumentation were conservative methods, which preserve more healthy dental tissues.Research highlightsAmong the caries removal procedures, the photoâ€ablation caries removal method stands out with the highest hybrid layer (HL) thickness and the lowest internal gap formation. Despite having the lowest HL thickness, the enzymatic gel method can be advantageous for patients requesting an alternative caries removal instead of a rotary instrument."</v>
          </cell>
          <cell r="E25" t="str">
            <v>ANATOMY &amp; MORPHOLOGY|BIOLOGY|MICROSCOPY</v>
          </cell>
          <cell r="F25" t="str">
            <v>ART,enzymatic gel,Er,Cr:YSGG laser,papain,rotary instrument,SEM</v>
          </cell>
          <cell r="H25" t="str">
            <v>Q2</v>
          </cell>
        </row>
        <row r="26">
          <cell r="B26" t="str">
            <v>10.1002/jemt.24416</v>
          </cell>
          <cell r="C26" t="str">
            <v>"AbstractIt was aimed to compare the dentine tubule penetration of AH Plus, MTA Bioseal, and WellRoot ST after filling, retreating, and reshaping the root canals by using a novel microscopic method. Seventyâ€five mandibular incisors with single root canals were shaped with Protaper Next system (PTN; X2â€25/0.06) The teeth were obturated with AH Plus labeled with Rhodamin B and MTA Bioseal or WellRoot ST sealer which were labeled with Fluoâ€3. Then the root canal fillings were removed with Protaper Universal Retreatment files. At the last stage, the teeth were reshaped with PTN (X3â€30/0.07). The samples were transversally sectioned and examined using a Cytation 5 reader and Gen5 software regarding the mean and the maximum depth of sealer penetration. No significant difference was observed between the groups, except for the 6â€‰mm level after reshaping the root canals (pâ€‰&lt;â€‰.05). It is not possible to completely remove the sealer remnants from the dentin walls even after reshaping the root canals.Research Highlights\nEven after reshaping the root canals in the retreatment procedure, it is not possible to completely remove the filling residues of the epoxyâ€resinâ€based, calciumâ€silicateâ€based and MTAâ€based endodontic pastes from the dentin walls.\n"</v>
          </cell>
          <cell r="E26" t="str">
            <v>ANATOMY &amp; MORPHOLOGY|BIOLOGY|MICROSCOPY</v>
          </cell>
          <cell r="F26" t="str">
            <v>AH plus,bioceramic,calcium-silicate-based-sealer,Cytation 5 reader,dentin tubule penetration,retreatment</v>
          </cell>
          <cell r="H26" t="str">
            <v>Q2</v>
          </cell>
        </row>
        <row r="27">
          <cell r="B27" t="str">
            <v>10.1002/mcda.1801</v>
          </cell>
          <cell r="C27" t="str">
            <v>"AbstractMultiple attribute decisionâ€making (MADM) tools can effectively support the decision analysts in selecting the best alternative among many, ranking the alternatives in decreasing or increasing order of preference, or allocating the alternatives into preâ€defined ordered classes/categories. Even though the literature provides the analyst with precious sortingâ€based MADM tools such as PROMSORT, UTADIS, AHPSort, TOPSISsort, and so forth, the majority of the methods can be found complex and hard to be understood by the researchers and practitioners who are not familiar with the mathematical notions and computations of MADM (distance calculation, threshold and preference function determination, and so on). To provide a simpler but powerful MADM tool aiming at sorting the alternatives into classes, this study proposes a sortingâ€based additive ratio assessment algorithm which is called ARASsort. For limiting (intervalâ€based) and central (referenceâ€based) profiles describing the categories, we have developed two algorithms: ARASsortâ€lp and ARASsortâ€cp, respectively. Their applicability was shown in two examples: green supplier evaluation and economic freedom evaluation of countries. The validity of algorithms was presented by demonstrating the class assignment similarities between the results obtained by ARASsort, VIKORsort, and TOPSISsort. The findings show that ARASsort works well because it shows a higher level of class assignment similarities with the other methods."</v>
          </cell>
          <cell r="E27" t="str">
            <v>MANAGEMENT</v>
          </cell>
          <cell r="F27" t="str">
            <v>ARAS,central profiles,limiting profiles,multi-attribute evaluation,sorting</v>
          </cell>
          <cell r="H27" t="str">
            <v>Q3</v>
          </cell>
        </row>
        <row r="28">
          <cell r="B28" t="str">
            <v>10.1002/minf.202000012</v>
          </cell>
          <cell r="C28" t="str">
            <v>"AbstractCurrent antiretroviral therapies against HIV involve the usage of at least two drugs that target different stages of HIV life cycle. However, potential drug interactions and side effects pose a problem. A promising concept for complex disease treatment is â€˜one moleculeâ€multiple targetâ€™ approach to overcome undesired effects of multiple drugs. Additionally, it is beneficial to consider drug reâ€purposing due to the cost of taking a drug into the market. Taking these into account, here potential antiâ€HIV compounds are suggested by virtually screening small approved drug molecules and clinical candidates. Initially, binary QSAR models are used to predict the therapeutic activity of around 7900 compounds against HIV and to predict the toxicity of molecules with high therapeutic activities. Selected compounds are considered for molecular docking studies against two targets, HIVâ€1 protease enzyme, and chemokine coâ€receptor CCR5. The top docking poses for all 549 molecules are then subjected to short (1â€…ns) individual molecular dynamics (MD) simulations and they are ranked based on their calculated relative binding free energies. Finally, 25 molecules are selected for long (200â€…ns) MD simulations, and 5 molecules are suggested as promising multiâ€target HIV agents. The results of this study may open new avenues for the designing of new dual HIVâ€1 inhibitor scaffolds."</v>
          </cell>
          <cell r="E28" t="str">
            <v>CHEMISTRY, MEDICINAL|COMPUTER SCIENCE, INTERDISCIPLINARY APPLICATIONS|MATHEMATICAL &amp; COMPUTATIONAL BIOLOGY</v>
          </cell>
          <cell r="F28" t="str">
            <v>HIV,Virtual Screening,Molecular Dynamics,Drug Re-positioning,Multi-target drugs</v>
          </cell>
          <cell r="H28" t="str">
            <v>Q2</v>
          </cell>
        </row>
        <row r="29">
          <cell r="B29" t="str">
            <v>10.1002/mma.7060</v>
          </cell>
          <cell r="C29" t="str">
            <v>"One of the most interesting branches of fractional calculus is the local fractional calculus, which has been used successfully to describe many fractal problems in science and engineering. The main purpose of this contribution is to construct a novel efficient technique to retrieve exact fractional solutions to local fractional Gardner's equation defined on Cantor sets by an effective numerical methodology. In the framework of this technique, first a set of elementary functions are defined on the contour set. Taking these functions into account, the general structure of the exact solution for the equation is suggested as a specific combination of the defined basis functions. By determining the unknown coefficients in this expansion and by placing them in the original equation, specific forms of solutions to the fractional equation are determined. Several interesting numerical simulations of the achieved results are also presented in the article to give a better understanding of the dynamic behavior of these results. The results obtained in this research confirm that the method used is very simple and efficient in terms of application. Moreover, it is accurate and free of any errors in terms of calculation. Therefore, it can be employed to handle other partial differential equations including local fractional derivatives."</v>
          </cell>
          <cell r="E29" t="str">
            <v>MATHEMATICS, APPLIED</v>
          </cell>
          <cell r="F29" t="str">
            <v>cantor set,efficient technique,exact solutions,Gardner&amp;apos,s equation,local fractional derivative,numerical simulation</v>
          </cell>
          <cell r="H29" t="str">
            <v>Q1</v>
          </cell>
        </row>
        <row r="30">
          <cell r="B30" t="str">
            <v>10.1002/mma.7241</v>
          </cell>
          <cell r="C30" t="str">
            <v>"In this manuscript, the mathematical model of COVIDâ€19 is considered with eight different classes under the fractionalâ€order derivative in Caputo sense. A couple of results regarding the existence and uniqueness of the solution for the proposed model is presented. Furthermore, the fractionalâ€order Taylor's method is used for the approximation of the solution of the concerned problem. Finally, we simulate the results for 50â€‰days with the help of some available data for fractional differential order to display the excellency of the proposed model."</v>
          </cell>
          <cell r="E30" t="str">
            <v>MATHEMATICS, APPLIED</v>
          </cell>
          <cell r="F30" t="str">
            <v>approximation,Caputo derivative,coronavirus (COVID-19),existence and uniqueness</v>
          </cell>
          <cell r="H30" t="str">
            <v>Q1</v>
          </cell>
        </row>
        <row r="31">
          <cell r="B31" t="str">
            <v>10.1002/mma.7285</v>
          </cell>
          <cell r="C31" t="str">
            <v>"Mathematical modeling will allow us to make effective interventions by policy makers and determine a specific program for the country's health managers. In recent years, applications of differential equations of the fractionalâ€order in biological and epidemic models have been significantly increased. In this paper, we consider a fractionalâ€order SVEIR model, which represents the interaction of five distinct compartments of people in a community with an epidemic. To verify the wellâ€posedness of the proposed fractionalâ€order model, the existence and uniqueness of positive and bounded solutions have been explored. Also, through analyzing the corresponding characteristic equations, the local stability of the diseaseâ€free equilibrium and the endemic equilibrium are discussed. Further, by constructing suitable Lyapunov functions and LaSalle's invariance principle, the asymptotic stability of the different equilibrium points of the system is also investigated. In another part of the article, we investigate the basic reproduction number index corresponding to the model, which provides a good description of the epidemic model's global dynamics. It has been shown that whenever the basic reproduction number of a system is less than unity, the diseaseâ€free equilibrium point is globally asymptotically stable. If indicator is greater than unity, then there exists a unique endemic equilibrium point that is globally asymptotically stable. Moreover, some numerical simulations are included to verify the theoretical achievement. These results provide good evidence for the implications of the theoretical results corresponding to the model."</v>
          </cell>
          <cell r="E31" t="str">
            <v>MATHEMATICS, APPLIED</v>
          </cell>
          <cell r="F31" t="str">
            <v>computational methods,fractional calculus,mathematical biology,SVEIR epidemic model,the reproduction number</v>
          </cell>
          <cell r="H31" t="str">
            <v>Q1</v>
          </cell>
        </row>
        <row r="32">
          <cell r="B32" t="str">
            <v>10.1002/mma.7287</v>
          </cell>
          <cell r="C32" t="str">
            <v>"This paper aims to solve the celebrated fuzzy fractional differential equations (FFDEs) using an artificial neural network (ANN) technique. To accomplish the aforementioned aim, the error back propagation algorithm and a multilayer feed forward neural architecture are utilized using the unsupervised learning in order to minimize the error function as well as the modification of the parameters such as weights and biases. By combining the initial conditions with the ANN output provides an appropriate approximate solution of the proposed FFDE. Then, two illustrative examples are solved to confirm the applicability of the concept as well as to demonstrate both the precision and effectiveness of the developed method. By comparing with some traditional methods, the obtained results reveal a close match that confirms both accuracy and correctness of the proposed method."</v>
          </cell>
          <cell r="E32" t="str">
            <v>MATHEMATICS, APPLIED</v>
          </cell>
          <cell r="F32" t="str">
            <v>artificial neural network (ANN),back propagation algorithm,fuzzy fractional differential equations (FFDEs),unsupervised learning</v>
          </cell>
          <cell r="H32" t="str">
            <v>Q1</v>
          </cell>
        </row>
        <row r="33">
          <cell r="B33" t="str">
            <v>10.1002/mma.7302</v>
          </cell>
          <cell r="C33" t="str">
            <v>"The paper aims to employ a new effective methodology to build exact fractional solutions to the generalized nonlinear SchrÃ¶dinger equation with a local fractional operator defined on Cantor sets. The equation contains group velocity dispersion and secondâ€order spatiotemporal dispersion coefficients. We obtain exact solutions of the equation via the generalized version of the exponential rational function method. This new version of the method uses a set of elementary functions that are adopted on the contour set. To study the dynamic behavior of the obtained results, extensive numerical simulations are provided. We observe that the employed method is simple but quite efficient for determining the exact solutions of the problem in the local sense. Moreover, they are practically compatible with solving various classes of nonlinear problems arising in mathematical physics. All computations are carried out using the Maple package."</v>
          </cell>
          <cell r="E33" t="str">
            <v>MATHEMATICS, APPLIED</v>
          </cell>
          <cell r="F33" t="str">
            <v>exact solutions,fractals,fractional derivatives and integrals,local fractional operators</v>
          </cell>
          <cell r="H33" t="str">
            <v>Q1</v>
          </cell>
        </row>
        <row r="34">
          <cell r="B34" t="str">
            <v>10.1002/mma.7386</v>
          </cell>
          <cell r="C34" t="str">
            <v>"The risk of spread infectious diseases in the environment is always one of the main threats to the life of living organisms. This point can be assumed as a clear proof of the importance of studying such problems from various aspects such as computational mathematical models. In this contribution, we examine a mathematical model to investigate the prevalence of an infectious disease in a prey and predator system, including three subpopulations through a fractional system of nonlinear equations. The model characterizes a possible interaction between predator and prey where infectious disease outbreaks in a community. Further, the prey population is divided into two: susceptible and the infected population. This model involves the Caputoâ€Fabrizio derivative. One of the basic features of this type of derivative is the use of a nonâ€singular (exponential) kernel, which increases its ability to describe phenomena compared to other existing operators. To the best of the author's knowledge, the use of fractional derivative operators for this model has not yet been investigated. Therefore, the presented results can be considered as new and interesting results for this model. In some of the acquired simulations,  the chaotic behaviors are clearly detectable."</v>
          </cell>
          <cell r="E34" t="str">
            <v>MATHEMATICS, APPLIED</v>
          </cell>
          <cell r="F34" t="str">
            <v>chaotic behaviors,infectious diseases,numerical techniques,the Caputo&amp;#8208,Fabrizio fractional derivative</v>
          </cell>
          <cell r="H34" t="str">
            <v>Q1</v>
          </cell>
        </row>
        <row r="35">
          <cell r="B35" t="str">
            <v>10.1002/mma.7412</v>
          </cell>
          <cell r="C35" t="str">
            <v>"During past decades, the study of the interaction between predator and prey species has become one of the most exciting topics in computational biology and mathematical ecology. In this paper, we aim to investigate the stability of a diseased model of susceptible, infected prey and predators around an internal steady state. To this end, the fractional derivatives based on the Mittagâ€Leffler kernels in the Liouvilleâ€Caputo concept has been taken into consideration. The existence and uniqueness of the acquired solutions to the model are also studied in this paper. In order to investigate the effects of the fractionalâ€order along with other existing parameters in the model, several possible scenarios have been examined. As it is seen in the proposed graphical simulations, the employed fractional operator is capable of capturing all anticipated theoretical features of the model. The numerical technique employed in this contribution is precise and efficient and can be easily adopted to investigate many fractionalâ€order models in biology. It is found that new proposed operators of fractionalâ€order can describe the realâ€world phenomena even better than integerâ€order differential equations because of their memoryâ€related properties."</v>
          </cell>
          <cell r="E35" t="str">
            <v>MATHEMATICS, APPLIED</v>
          </cell>
          <cell r="F35" t="str">
            <v>biological model,chaos,computational methods,equilibrium analysis,fractional calculus</v>
          </cell>
          <cell r="H35" t="str">
            <v>Q1</v>
          </cell>
        </row>
        <row r="36">
          <cell r="B36" t="str">
            <v>10.1002/mma.7582</v>
          </cell>
          <cell r="C36" t="str">
            <v>"The main purpose of this paper is to conduct a complete study on analytical and numerical solutions of a nonlinear differential equation arising in heat transfer with the conformable derivative. To this end, the governing model, which is about the cooling of a lumped system with a variable specific heat, is considered, and its analytical and numerical solutions are obtained through adopting a group of wellâ€designed techniques such as the homotopy analysis method, the operational collocation method based on Jacobi polynomials, and the finite difference method. To show the effectiveness of the schemes, comparisons are given in twoâ€dimensional postures demonstrating an agreement between analytical and numerical solutions. In the end, the effect of the parameter Î± on the dynamical features of the obtained solutions is investigated graphically."</v>
          </cell>
          <cell r="E36" t="str">
            <v>MATHEMATICS, APPLIED</v>
          </cell>
          <cell r="F36" t="str">
            <v>analytical and numerical solutions,conformable derivative,finite difference method,homotopy analysis method,nonlinear differential equation in heat transfer,operational collocation method</v>
          </cell>
          <cell r="H36" t="str">
            <v>Q1</v>
          </cell>
        </row>
        <row r="37">
          <cell r="B37" t="str">
            <v>10.1002/mma.7662</v>
          </cell>
          <cell r="C37" t="str">
            <v>"An operational matrix method is implemented based on the bivariate Jacobi polynomials to attain numerical solutions of a category of Volterra weakly singular partial integroâ€differential equations (VWSPIâ€DEs). Utilizing Jacobi approximations and their integral, derivative, and pseudoâ€integral operational matrices along with the collocation method reduces the given VWSPIâ€DE to a system of algebraic equations. Diverse forms of the Jacobi polynomials are used to investigate and compare errors of obtained approximate solutions. Moreover, some error bounds are computed for the error functions. Four experimental illustrations are solved to exhibit the effectiveness and suitability of the proposed scheme."</v>
          </cell>
          <cell r="E37" t="str">
            <v>MATHEMATICS, APPLIED</v>
          </cell>
          <cell r="F37" t="str">
            <v>bivariate Jacobi polynomials,error bound,operational matrix,Volterra weakly singular partial integro-differential equation</v>
          </cell>
          <cell r="H37" t="str">
            <v>Q1</v>
          </cell>
        </row>
        <row r="38">
          <cell r="B38" t="str">
            <v>10.1002/mma.7704</v>
          </cell>
          <cell r="C38" t="str">
            <v>"In the current article, we aim to study in detail a novel coronavirus (2019â€nCoV or COVIDâ€19) mathematical model for different aspects under Caputo fractional derivative. First, from analysis point of view, existence is necessary to be investigated for any applied problem. Therefore, we used fixed point theorem's due to Banach's and Schaefer's to establish some sufficient results regarding existence and uniqueness of the solution to the proposed model. On the other hand, stability is important in respect of approximate solution, so we have developed condition sufficient for the stability of Ulamâ€“Hyers and their different types for the considered system. In addition, the model has also been considered for semianalytical solution via Laplace Adomian decomposition method (LADM). On Matlab, by taking some real data about Pakistan, we graph the obtained results. In the last of the manuscript, a detail discussion and brief conclusion are provided."</v>
          </cell>
          <cell r="E38" t="str">
            <v>MATHEMATICS, APPLIED</v>
          </cell>
          <cell r="F38" t="str">
            <v>Adomian decomposition method,analytical results,fractional-order derivative,graphical interpretation,novel coronavirus mathematical models</v>
          </cell>
          <cell r="H38" t="str">
            <v>Q1</v>
          </cell>
        </row>
        <row r="39">
          <cell r="B39" t="str">
            <v>10.1002/mma.7722</v>
          </cell>
          <cell r="C39" t="str">
            <v>"This paper evaluates thermal output for the flow of Maxwell nanofluid over an extending sheet with bioconvection of micron size selfâ€motivated organisms. Radiative heat flux and two temperature boundary conditions, namely, prescribed surface temperature (PST) and prescribed heat flux (PHF), are considered. The flow is influenced by a magnetic field and porosity effects of a medium. The motivation pertains to attain an enhancement in thermal transportation via nanoparticle inclusion. The possible settling of the nanoparticles may be avoided by bioconvection of microorganisms. The basic theoretical conservation of mass, concentration, momentum, and energy provides a nonlinear set of partial differential equations which are then transmuted into ordinary differential form. The implementation of Rungeâ€“Kutta method with shooting technique in Matlab coding resulted the numerical solution. A deep insight into the problem is inspected by varying the inputs of influential parameters of the dependent functions. It is perceived that the flow speed is hindered by the growing inputs of parameters of buoyancy ratio, magnetic field, Raleigh number, and porosity. The temperature of the fluid attains higher outputs directly with thermophoresis and Brownian movement of nanoparticles. Motile microorganisms Ï‡(Î·) profile goes down when bioconvection Schmidt number intensified. The current numeric results are validated when compared within existing studies."</v>
          </cell>
          <cell r="E39" t="str">
            <v>MATHEMATICS, APPLIED</v>
          </cell>
          <cell r="F39" t="str">
            <v>bioconvection,magnetohydrodynamics,Maxwell fluid,nanofluid,Runge-Kutta scheme,thermal radiation</v>
          </cell>
          <cell r="H39" t="str">
            <v>Q1</v>
          </cell>
        </row>
        <row r="40">
          <cell r="B40" t="str">
            <v>10.1002/mma.8656</v>
          </cell>
          <cell r="C40" t="str">
            <v>"Approximation of source identification problem for elliptic equation with integralâ€type nonlocal condition is discussed. The first order of accuracy difference scheme for elliptic nonlocal identification problem is studied. By using spectral resolution of a selfâ€adjoint operator, we establish stability inequalities for solution of constructed scheme. Subsequently, the difference scheme for approximate solution of multidimensional boundary value problem with integralâ€type nonlocal and first kind boundary conditions is investigated on stability. Numerical test examples are presented."</v>
          </cell>
          <cell r="E40" t="str">
            <v>MATHEMATICS, APPLIED</v>
          </cell>
          <cell r="F40" t="str">
            <v>difference scheme,inverse problem,source identification problem,stability estimates</v>
          </cell>
          <cell r="H40" t="str">
            <v>Q1</v>
          </cell>
        </row>
        <row r="41">
          <cell r="B41" t="str">
            <v>10.1002/mma.9015</v>
          </cell>
          <cell r="C41" t="str">
            <v>"The idea of this work is to provide a pseudoâ€operational collocation scheme to deal with the solution of the variableâ€order timeâ€space fractional KdVâ€“Burgersâ€“Kuramoto equation (VOSTFKBKE). Such the fractional partial differential equation (FPDE) has three characteristics of dissipation, dispersion, and instability, which make this equation is used to model many phenomena in diverse fields of physics. Numerical solutions are sought in a linear combination of twoâ€dimensional Jacobi polynomials as basis functions. In order to approximate unknown functions in terms of the basis vector, pseudoâ€operational matrices are constructed to avoid integration. An error bound of the residual function is estimated in a Jacobiâ€weighted space in the \n norms. Numerical results are compared with exact ones and those reported by other researchers to demonstrate the effectiveness of the recommended method."</v>
          </cell>
          <cell r="E41" t="str">
            <v>MATHEMATICS, APPLIED</v>
          </cell>
          <cell r="F41" t="str">
            <v>bivariate Jacobi polynomials,error bound,fractional KdV-Burgers-Kuramoto equation,fractional operators with variable orders,pseudo-operational matrix</v>
          </cell>
          <cell r="H41" t="str">
            <v>Q1</v>
          </cell>
        </row>
        <row r="42">
          <cell r="B42" t="str">
            <v>10.1002/mmce.22872</v>
          </cell>
          <cell r="C42" t="str">
            <v>"In this study, a novel structure of semi array of antipodal Vivaldi antenna is designed to extract the RF radiations from the singleâ€photon detectors in a quantum key distribution system. The proposed antenna covers a frequency range from 2 to 12â€‰GHz with an average gain of 12.5â€‰dBi which has improved by a lens structure. In the first step, the design proceeding of the antenna has been discussed, and then, some of the unique futures of the proposed antenna which promoted it to use in quantum attack systems, such as linear momentum, a good Envelope Correlation Coefficient, and Gaussian pulse response, are discussed."</v>
          </cell>
          <cell r="E42" t="str">
            <v>COMPUTER SCIENCE, INTERDISCIPLINARY APPLICATIONS|ENGINEERING, ELECTRICAL &amp; ELECTRONIC</v>
          </cell>
          <cell r="F42" t="str">
            <v>quantum key distribution,RF fingerprint,Vivaldi antenna</v>
          </cell>
          <cell r="H42" t="str">
            <v>Q4</v>
          </cell>
        </row>
        <row r="43">
          <cell r="B43" t="str">
            <v>10.1002/mmce.23480</v>
          </cell>
          <cell r="C43" t="str">
            <v>"A multiâ€band, small, high gain, low specific absorption rate (SAR), and circularly polarized (CP) textile wearable antenna fed using aperture coupled technique is designed on two layers of denim ( Îµr=1.2 , h = 0.787â€‰mm as feeding layer) and felt ( Îµr=1.3 , h = 1.5â€‰mm as a resonating layer) textile substrates. The antenna is designed on two layers with two relative permittivities to enhance the BW and reduce the negative mutual coupling. Afterward, another layer of denim with the complete ground of ShieldIt conductor is added to decrease the SAR value along with the directive gain. The antenna works for Industrial, Scientific, and Medical (ISM), 5G, and subâ€6 GHz communication systems as it operates at 2.45â€“2.55â€‰GHz and 3.8 GHz (3.6â€“4.15â€‰GHz), and 5.6 GHz (5.55â€“5.65â€‰GHz), respectively. The proposed antenna has the maximum directive gain of 8.35â€‰dBi, acceptable SAR values at a 10â€‰mm distance from the human body for both standards. In addition, the antenna's CP is examined, showing AR values of &lt;2.5 dB at the working BW. Finally, the proposed antenna is measured and compared with the simulation results. A good agreement exists between simulation and measurement results."</v>
          </cell>
          <cell r="E43" t="str">
            <v>COMPUTER SCIENCE, INTERDISCIPLINARY APPLICATIONS|ENGINEERING, ELECTRICAL &amp; ELECTRONIC</v>
          </cell>
          <cell r="F43" t="str">
            <v>5G,ISM,low SAR,sub-6 GHz,wearable antenna</v>
          </cell>
          <cell r="H43" t="str">
            <v>Q4</v>
          </cell>
        </row>
        <row r="44">
          <cell r="B44" t="str">
            <v>10.1002/nme.7312</v>
          </cell>
          <cell r="C44" t="str">
            <v>"AbstractArtificial neural networks have great potential for learning and stability in the face of tiny input data changes. As a result, artificial intelligence techniques and modeling tools have a growing variety of applications. To estimate a solution for fractalâ€fractional differential equations (FFDEs) of highâ€order linear (HOL) with variable coefficients, an iterative methodology based on a mix of a power series method and a neural network approach was applied in this study. In the algorithm's equation, an appropriate truncated series of the solution functions was replaced. To tackle the issue, this study uses a series expansion of an unidentified function, where this function is approximated using a neural architecture. Some examples were presented to illustrate the efficiency and usefulness of this technique to prove the concept's applicability. The proposed methodology was found to be very accurate when compared to other available traditional procedures. To determine the approximate solution to FFDEsâ€HOL, the suggested technique is simple, highly efficient, and resilient."</v>
          </cell>
          <cell r="E44" t="str">
            <v>ENGINEERING, MULTIDISCIPLINARY|MATHEMATICS, INTERDISCIPLINARY APPLICATIONS</v>
          </cell>
          <cell r="F44" t="str">
            <v>artificial neural network,back-propagation learning algorithm,generalized Caputo fractal-fractional derivative,higher order fractal-fractional differential equations,power series</v>
          </cell>
          <cell r="H44" t="str">
            <v>Q2</v>
          </cell>
        </row>
        <row r="45">
          <cell r="B45" t="str">
            <v>10.1002/num.22589</v>
          </cell>
          <cell r="C45" t="str">
            <v>"AbstractIn this article, we analyze local fractional Poisson equation (LFPE) by employing qâ€homotopy analysis transform method (qâ€HATM). The PE describes the potential field due to a given charge with the potential field known, one can then calculate gravitational or electrostatic field in fractal domain. It is an elliptic partial differential equations (PDE) that regularly appear in the modeling of the electromagnetic mechanism. In this work, PE is studied in the local fractional operator sense. To handle the LFPE some illustrative example is discussed. The required results are presented to demonstrate the simple and wellâ€organized nature of qâ€HATM to handle PDE having fractional derivative in local fractional operator sense. The results derived by the discussed technique reveal that the suggested scheme is easy to employ and computationally very accurate. The graphical representation of solution of LFPE yields interesting and better physical consequences of Poisson equation with local fractional derivative."</v>
          </cell>
          <cell r="E45" t="str">
            <v>MATHEMATICS, APPLIED</v>
          </cell>
          <cell r="F45" t="str">
            <v>local fractional derivative,local fractional Laplace transform,local fractional Poisson equation,q&amp;#8208,homotopy analysis transform method</v>
          </cell>
          <cell r="H45" t="str">
            <v>Q1</v>
          </cell>
        </row>
        <row r="46">
          <cell r="B46" t="str">
            <v>10.1002/num.22625</v>
          </cell>
          <cell r="C46" t="str">
            <v>"AbstractWe know that due to the Weierstrass approximation theorem any continuous function over a closed interval can be approximated by a polynomial of sufficiently high degree. Therefore, they are frequently used to approximate functions. We proposed a Lagrange polynomialâ€based approach for solving the optimal control problem governed by the elliptic convectionâ€“diffusion partial differential equation. This paper solves it by the barycentric interpolation method as a class of strongâ€form numerical methods. Thanks to Lagrangian multipliers, optimality system is derived and then the barycentric collocation method is employed to discretize the state variable and adjoint variable. Barycentric interpolation method is a Lagrange polynomial interpolation that is fast and deserves to be known as a method of polynomial interpolation. The convergence of the proposed method is also proved. At the end, numerical experiments are employed to illustrate the theoretical findings."</v>
          </cell>
          <cell r="E46" t="str">
            <v>MATHEMATICS, APPLIED</v>
          </cell>
          <cell r="F46" t="str">
            <v>barycentric collocation method,elliptic convection&amp;#8211,diffusion equation,optimal control,partial differential equation</v>
          </cell>
          <cell r="H46" t="str">
            <v>Q1</v>
          </cell>
        </row>
        <row r="47">
          <cell r="B47" t="str">
            <v>10.1002/num.22740</v>
          </cell>
          <cell r="C47" t="str">
            <v>"AbstractThe various aspects of differential calculus are always on the path to progress and excellence, and these trends have been more highlighted in recent decades. More specifically, tremendous advances have been made in the field of fractional calculus. One of the main branches in this field is the local fractional derivative, which has been used successfully to describe many realâ€world phenomena in science, and engineering. The present contribution aims to adopt a newly proposed analytical technique to construct exact solutions to local fractional Schamel's equation defined on Cantor sets. To this end, a set of elementary functions are constructed on Cantor sets is defined. Furthermore, the combination of these modified functions is utilized to constitute a formal representation of the searched exact solution for the equation. Numerical simulations related to some of the obtained solutions are also included. The acquired results confirm that the method used is not only very straightforward but also efficient in terms of application. In order to perform complicated and tedious calculations while solving this problem, the use of a symbolic computational packages in Maple or Mathematica is inevitable. The work emphasizes the power of the employed method in providing various exact solutions to different physical problems involving local fractional derivatives."</v>
          </cell>
          <cell r="E47" t="str">
            <v>MATHEMATICS, APPLIED</v>
          </cell>
          <cell r="F47" t="str">
            <v>Cantor set,exact solutions for PDE,local fractional derivative</v>
          </cell>
          <cell r="H47" t="str">
            <v>Q1</v>
          </cell>
        </row>
        <row r="48">
          <cell r="B48" t="str">
            <v>10.1002/num.22979</v>
          </cell>
          <cell r="C48" t="str">
            <v>"AbstractIn this study, timeâ€nonlocal Schrodinger type problems are investigated. Single step absolute stable highly accurate difference schemes for the numerical solution of these problems are presented and theorems on the stability of these difference schemes are established. Numerical illustrations in test examples for the third and fourth order of accuracy difference schemes are presented."</v>
          </cell>
          <cell r="E48" t="str">
            <v>MATHEMATICS, APPLIED</v>
          </cell>
          <cell r="F48" t="str">
            <v>difference schemes,Schrodinger problem,stability</v>
          </cell>
          <cell r="H48" t="str">
            <v>Q1</v>
          </cell>
        </row>
        <row r="49">
          <cell r="B49" t="str">
            <v>10.1002/pca.3088</v>
          </cell>
          <cell r="C49" t="str">
            <v>"AbstractIntroductionNumerous efforts in natural product drug development are reported for the treatment of Coronavirus. Based on the literature, among these natural plants Artemisia annua L. shows some promise for the treatment of SARSâ€CoVâ€2.ObjectiveThe main objective of our study was to determine artemisinin content by liquid chromatography electrospray ionisation tandem mass spectrometry (LCâ€ESIâ€MS/MS), to investigate the in vitro biological activity of artemisinin from the A. annua plants grown in Turkey with various extracted methods, to elaborate in silico activity against SARSâ€CoVâ€2 using molecular modelling.MethodologyTwentyâ€one different extractions were applied. Direct and sequential extractions studies were compared with ultrasonic assisted maceration, Soxhlet, and ultraâ€rapid determined artemisinin active molecules by LCâ€ESIâ€MS/MS methods. The inhibition of spike protein and main protease (3CL) enzyme activity of SARSâ€CoVâ€2 virus was assessed by time resolved fluorescence energy transfer (TRâ€FRET) assay.ResultsArtemisinin content in the range 0.062â€“0.066%. Artemisinin showed significant inhibition of 3CL protease activity but not Spike/ACEâ€2 binding. The 50% effective concentration (EC50) of artemisinin against SARSâ€CoVâ€2â€‰Spike pseudovirus was found greater than 50â€‰Î¼M (EC45) in HEK293T cell line whereas the cell viability was 94% of the control (Pâ€‰&lt;â€‰0.01). The immunosuppressive effects of artemisinin on TNFâ€Î± production on both pseudovirus and lipopolysaccharide (LPS)â€induced THPâ€1 cells were found significant in a dose dependent manner.ConclusionFurther studies of these extracts for COVIDâ€19 treatment will shed light to seek alternative treatment options. Moreover, these natural extracts can be used as an additional treatment option with medicines, as well as prophylactic use can be very beneficial for patients."</v>
          </cell>
          <cell r="E49" t="str">
            <v>BIOCHEMICAL RESEARCH METHODS|CHEMISTRY, ANALYTICAL|PLANT SCIENCES</v>
          </cell>
          <cell r="F49" t="str">
            <v>antiviral activity,Artemisia annua SARS-CoV-2,LC-ESI-MS,MS,natural products for COVID-19</v>
          </cell>
          <cell r="H49" t="str">
            <v>Q2</v>
          </cell>
        </row>
        <row r="50">
          <cell r="B50" t="str">
            <v>10.1002/prot.26150</v>
          </cell>
          <cell r="C50" t="str">
            <v>"AbstractA novel virus, severe acute respiratory syndrome Coronavirus 2 (SARSâ€CoVâ€2), causing coronavirus disease 2019 (COVIDâ€19) worldwide appeared in 2019. Detailed scientific knowledge of the members of the Coronaviridae family, including the Middle East Respiratory Syndrome Coronavirus (MERSâ€CoV) is currently lacking. Structural studies of the MERSâ€CoV proteins in the current literature are extremely limited. We present here detailed characterization of the structural properties of MERSâ€CoV macro domain in aqueous solution. Additionally, we studied the impacts of chosen force field parameters and parallel tempering simulation techniques on the predicted structural properties of MERSâ€CoV macro domain in aqueous solution. For this purpose, we conducted extensive Hamiltonianâ€replica exchange molecular dynamics simulations and Temperatureâ€replica exchange molecular dynamics simulations using the CHARMM36m and AMBER99SB parameters for the macro domain. This study shows that the predicted secondary structure properties including their propensities depend on the chosen simulation technique and force field parameter. We perform structural clustering based on the radius of gyration and endâ€toâ€end distance of MERSâ€CoV macro domain in aqueous solution. We also report and analyze the residueâ€level intrinsic disorder features, flexibility and secondary structure. Furthermore, we study the propensities of this macro domain for proteinâ€protein interactions and for the RNA and DNA binding. Overall, results are in agreement with available nuclear magnetic resonance spectroscopy findings and present more detailed insights into the structural properties of MERS CoV macro domain in aqueous solution. All in all, we present the structural properties of the aqueous MERSâ€CoV macro domain using different parallel tempering simulation techniques, force field parameters and bioinformatics tools."</v>
          </cell>
          <cell r="E50" t="str">
            <v>BIOCHEMISTRY &amp; MOLECULAR BIOLOGY|BIOPHYSICS</v>
          </cell>
          <cell r="F50" t="str">
            <v>bioinformatics,force field parameters,H&amp;#8208,REMD simulations,MERS&amp;#8208,CoV,simulation protocols,T&amp;#8208,REMD simulations</v>
          </cell>
          <cell r="H50" t="str">
            <v>Q2</v>
          </cell>
        </row>
        <row r="51">
          <cell r="B51" t="str">
            <v>10.1002/prot.26242</v>
          </cell>
          <cell r="C51" t="str">
            <v>"AbstractExperimenters face challenges and limitations while analyzing glycoproteins due to their high flexibility, stereochemistry, anisotropic effects, and hydration phenomena. Computational studies complement experiments and have been used in characterization of the structural properties of glycoproteins. However, recent investigations revealed that computational studies face significant challenges as well. Here, we introduce and discuss some of these challenges and weaknesses in the investigations of glycoproteins. We also present requirements of future developments in computational biochemistry and computational biology areas that could be necessary for providing more accurate structural property analyses of glycoproteins using computational tools. Further theoretical strategies that need to be and can be developed are discussed herein."</v>
          </cell>
          <cell r="E51" t="str">
            <v>BIOCHEMISTRY &amp; MOLECULAR BIOLOGY|BIOPHYSICS</v>
          </cell>
          <cell r="F51" t="str">
            <v>classical molecular simulations,experimental tools,glycoproteins,machine learning,quantum mechanics,molecular mechanics</v>
          </cell>
          <cell r="H51" t="str">
            <v>Q2</v>
          </cell>
        </row>
        <row r="52">
          <cell r="B52" t="str">
            <v>10.1002/pssa.202100701</v>
          </cell>
          <cell r="C52" t="str">
            <v>"An undulator is a required part for building freeâ€electron lasers (FELs) upon which a large body of the literature has expressed interest for the applications in various areas such as the defense industry, material science, and medicine. The current state of the art of Xâ€FEL uses an undulator period down to 3â€‰cm, which creates an output radiation wavelength down to 1.5â€‰A using â‰ˆ14â€‰GeV eâ€beam. By developing a mm/subâ€mm period undulator (i.e., a period of 300â€‰Î¼m), it is possible to obtain the same output radiation wavelength with a much less eâ€beam energy of â‰ˆ1.4â€‰GeV. Thus, compact XFELs could become a reality. In this work, FePt thin films and micromagnets are synthesized by the sputtering deposition technique, and their properties are studied. The Xâ€ray diffraction (XRD) pattern indicated that the crystal structure transformed from faceâ€centered cubic (FCC) to L10 faceâ€centered tetragonal (FCT) phase upon annealing. Room temperature coercivity of the structures reached up to 1.4 Tesla. Undulator prototype is developed and the performance tests are done using Genesis simulation. Simulations yield output radiation with 0.52â€‰nm wavelength and 0.7 GW peak power. Synthesized FePt micromagnets could be utilized in nextâ€generation miniaturized undulators."</v>
          </cell>
          <cell r="E52" t="str">
            <v>MATERIALS SCIENCE, MULTIDISCIPLINARY|PHYSICS, APPLIED|PHYSICS, CONDENSED MATTER</v>
          </cell>
          <cell r="F52" t="str">
            <v>magnetic materials,undulators,XFEL</v>
          </cell>
          <cell r="H52" t="str">
            <v>Q3</v>
          </cell>
        </row>
        <row r="53">
          <cell r="B53" t="str">
            <v>10.1002/sd.2796</v>
          </cell>
          <cell r="C53" t="str">
            <v>"AbstractThis study describes the relationships between climate change and the concept of a circular economy, outlining the need for synergies within a company's context. It reports on a bibliometric analysis of the relations between climate change and circular economy, and it provides evidence and assessments based on a sample of 11 large companies in the chemical industry. The results show that there is a concern in the academic literature to discuss circular economy efforts to combat climate change, reduce carbon emissions, strengthen the supply chain, assess the life cycle of products, their environmental impact, and waste management, and identify barriers to implementing the circular economy. In addition, there is a close association between the CE concept and tackling climate change in how organisations report their practices to the stakeholders, in considering concepts of recycling, reusing, adopting renewable energy, seeking resource efficiency, and rethinking strategies. The study concludes by providing some suggestions that may assist companies in intensifying their efforts to reduce their carbon footprint, combining them with more circular business models. Efforts from interested stakeholders must focus on defining CE in a more detailed manner, as well as its implementation at the different stages of production and consumption, especially in operations for which no uniform approach or common practice can be established. In this context, implications for positive social and environmental impacts by promoting a faster and more proactive climate transition in the chemical sector are presented. The novelty of this paper relies on the fact that it advances knowledge on matters related to the circular economy under a climate change context, identifying current trends and suggesting some measures which may optimise current business practices of the chemical sector."</v>
          </cell>
          <cell r="E53" t="str">
            <v>DEVELOPMENT STUDIES|GREEN &amp; SUSTAINABLE SCIENCE &amp; TECHNOLOGY|REGIONAL &amp; URBAN PLANNING</v>
          </cell>
          <cell r="F53" t="str">
            <v>chemical industry,circular economy,climate change,enterprises,resources use</v>
          </cell>
          <cell r="H53" t="str">
            <v>Q1</v>
          </cell>
        </row>
        <row r="54">
          <cell r="B54" t="str">
            <v>10.1002/sdr.1692</v>
          </cell>
          <cell r="C54" t="str">
            <v>"AbstractThis study aims at examining the role of metacognition, which refers to one's ability to control and regulate their own thinking process through various activities in assessing dynamics of stocks and flows. The first research question focuses on the metacognitive activities used by individuals who solved such tasks correctly and who did not. The second question focuses on how successfully participants organized their thinking processes to arrive at a correct answer when prompted and permitted to retry. Forty undergraduate students were involved in the study, and concurrent thinkâ€aloud protocol was used to examine their thinking when performing two stockâ€flow tasks. The findings revealed that participants tend to have difficulties in reading, planning, monitoring, and checking activities. The effectiveness of metacognitive activities employed by the participants is likely to decrease from reading to checking, respectively. The study contributes to our understanding of metacognitive deficiencies in stockâ€flow failure and provides further research suggestions. Â© 2021 The Authors. System Dynamics Review published by John Wiley &amp; Sons Ltd on behalf of System Dynamics Society."</v>
          </cell>
          <cell r="E54" t="str">
            <v>MANAGEMENT|SOCIAL SCIENCES, MATHEMATICAL METHODS</v>
          </cell>
          <cell r="H54" t="str">
            <v>Q2</v>
          </cell>
        </row>
        <row r="55">
          <cell r="B55" t="str">
            <v>10.1002/slct.202202819</v>
          </cell>
          <cell r="C55" t="str">
            <v>"AbstractIn recent years, various compounds including the aminoguanidine scaffold have been reported to exhibit diverse biological activities. In the current study, 16 compounds that include guanylhydrazone (aminoguanidine) moiety (3â€‰aâ€“3â€‰p) were synthesized and characterized through the spectrum data, including 1Hâ€NMR, 13Câ€NMR, and FTâ€IR. Furthermore, the proposed structure of 3â€‰a was resolved by singleâ€crystal Xâ€ray diffractometer. The prepared compounds were then tested for their different inâ€…vitro biological activities including antitumor activities against several types of cancer cell lines (A549, MCFâ€7, and U87â€MG). Results showed that among the studied compounds especially 3â€‰i, 3â€‰n, and 3â€‰p showed promising antiproliferative effect and they may be considered as good candidates for further inâ€…vitro and/or inâ€…vivo animal model studies. All the 16 derivatives synthesized in this study were also screened for their antimicrobial, antioxidant activity and DNA cleavage properties. Furthermore, multidimensional molecular modeling approaches were conducted for better understanding of their biological activities in atomic level."</v>
          </cell>
          <cell r="E55" t="str">
            <v>CHEMISTRY, MULTIDISCIPLINARY</v>
          </cell>
          <cell r="F55" t="str">
            <v>aminoguanidine,BCL-2,DNA cleavage,guanylhydrazone,molecular modeling</v>
          </cell>
          <cell r="H55" t="str">
            <v>Q3</v>
          </cell>
        </row>
        <row r="56">
          <cell r="B56" t="str">
            <v>10.1002/slct.202203604</v>
          </cell>
          <cell r="C56" t="str">
            <v>"AbstractIn this study, starting from 1Hâ€1,2,4â€triazole, a new series of aliphatic ether derivatives containing phenyl and 1Hâ€1,2,4â€triazole groups together were synthesized using reduction and Williamson ether synthesis mechanisms, respectively. The molecular structures of the synthesized compounds were characterized by fourierâ€transform infrared spectroscopy (FTâ€IR), 1H and 13C nuclear magnetic resonance (1H NMR and 13C NMR), mass spectroscopy, and elemental analysis techniques. All synthesized compounds were screened against three different human cancer cell lines, including colon, lung, and liver cancer cells. Some of the compounds showed exceptionally high antiproliferative effects against all three cancer cell lines, with IC50 values much lower than the positive control drug bendamustine. In addition, molecular docking studies were performed to support the inâ€…vitro results and the interaction types and amino acids that play key roles in the binding of the compounds to enzymes were identified. Finally, the potential of these compounds to be drugs and their drugâ€likeness properties were evaluated by absorption, distribution, metabolism, and excretionâ€toxicity (ADMET) calculations and it was determined that the compounds could be drug candidates with the capacity to be effective and safe drugs for use in the treatment of different diseases."</v>
          </cell>
          <cell r="E56" t="str">
            <v>CHEMISTRY, MULTIDISCIPLINARY</v>
          </cell>
          <cell r="F56" t="str">
            <v>Alkyl Ether,1H-1,2,4-Triazole,Anticancer activity,Molecular docking,ADMET</v>
          </cell>
          <cell r="H56" t="str">
            <v>Q3</v>
          </cell>
        </row>
        <row r="57">
          <cell r="B57" t="str">
            <v>10.1002/slct.202204221</v>
          </cell>
          <cell r="C57" t="str">
            <v>"AbstractIn here, two new Schiff base molecules (3 and 4) were synthesized from the condensation reaction of 1â€aminoâ€5â€benzoylâ€4â€phenylpyrimidineâ€2(1H)â€one (1) and 1â€aminoâ€5â€(4â€methylbenzoyl)â€4â€pâ€tolylpyrimidinâ€2(1H)â€one (2) with 4â€bromobenzaldehyde. These molecules were completely characterized by IR, NMR, and HRâ€MS. Moreover, moleculeâ€…4 was determined by single crystal xâ€ray diffraction (SCâ€XRD) patterns. The crystallographic analysis revealed that moleculeâ€…4 crystallizes in the monoclinic system, space group P21/c. The molecules were screened in colon, lung and liver cell lines. The results showed that moleculeâ€…4 had cytotoxic activity in all screened cancer cell lines. Molecular docking studies of moleculesâ€…3 and 4, which were synthesized experimentally and whose cytotoxic activities were examined, were carried out with in silico approaches. Binding parameter values and active binding sites were determined by interacting the compounds with EGFR (PDB IDâ€‰:â€‰1M17) and VEGFRâ€2 (PDB IDâ€‰:â€‰4ASD) crystal structures, respectively, in molecular docking. In addition, the theoretical pharmacokinetic properties of compounds 3 and 4 were evaluated using ADME analysis."</v>
          </cell>
          <cell r="E57" t="str">
            <v>CHEMISTRY, MULTIDISCIPLINARY</v>
          </cell>
          <cell r="F57" t="str">
            <v>ADME prediction,Cytotoxic activity,Molecular docking,Pyrimidine,Schiff Bases</v>
          </cell>
          <cell r="H57" t="str">
            <v>Q3</v>
          </cell>
        </row>
        <row r="58">
          <cell r="B58" t="str">
            <v>10.1002/slct.202300910</v>
          </cell>
          <cell r="C58" t="str">
            <v>"AbstractHeterocyclics containing pyridazinone and piperazine structures are potential anticancer agents in the treatment of cancer disease caused by increasing the number of abnormal cells disrupting body biochemistry. There is a need for the design of more biocompatible drugs for the treatment of cancer with minimal side effects. For this purpose, a series of piperazinylâ€methylâ€3(2H)pyridazinone based compounds were synthesized and their anticancer activities were studied inâ€…vitro and in silico. The chemical structures of all the new compounds 3â€‰(aâ€“k) were identified by spectral analysis. The new compounds were screened in human lung and colon cancer cell lines to learn about their cytotoxic effects. The importance of the structure activity relationship was seen in this study and the compounds containing methoxy groups on the phenyl ring (3â€‰a, 3â€‰b, 3â€‰eâ€“3â€‰g) were found to have higher cytotoxic effects than those without. It was determined that one of these compounds (3â€‰a) demonstrated significant cytotoxic effect against both cell lines for 72â€…h as inâ€…vitro. The geometry of the synthesized 3â€‰a ligand was optimized using the hybrid B3LYP functional density functional theory (DFT). Molecular docking study of 3â€‰a compound was performed against EGFR (PDB IDâ€‰:â€‰1M17) and VEGFRâ€2 (PDB ID: 2RL5) molecular targets."</v>
          </cell>
          <cell r="E58" t="str">
            <v>CHEMISTRY, MULTIDISCIPLINARY</v>
          </cell>
          <cell r="F58" t="str">
            <v>3(2H)pyridazinone,cytotoxic activity,DFT,molecular docking,piperazine</v>
          </cell>
          <cell r="H58" t="str">
            <v>Q3</v>
          </cell>
        </row>
        <row r="59">
          <cell r="B59" t="str">
            <v>10.1002/slct.202301014</v>
          </cell>
          <cell r="C59" t="str">
            <v>"AbstractIn this study, new mixed ligand Cu(II), Ni(II) and Pd(II) metal complexes were synthesized and characterized by NMR (for ligand), UVâ€Vis, elemental analysis, FTâ€IR, molar conductivity techniques. While the octahedral structure is recommended for Cu(II) and Ni(II) complexes, the square plane structure is recommended for the Pd(II) complex. The compounds lack conductivity traits indicating their nonâ€electrolyte nature in solution. Photoluminescence properties of the synthesized mixed ligand complexes were investigated. These three complexes showed emission bands when excited at their maximum absorbances. The excitation/emission bands of the Pd(II) complex shifted to higher (red) wavelengths when compared to the Cu(II) and Ni(II) complexes. The Pd(II) complex showed the Stokes shift of 26â€…nm. These metal complexes were screened for their anticancer activities against the colon cancer (DLDâ€1) and lung cancer (A549) cell lines. The results show that these complexes have antiproliferative activity. In particular, two of the complexes (Pd(II) and Cu(II)) were found to have a higher cytotoxic effect than the positive control drug cisplatin with low IC50 values."</v>
          </cell>
          <cell r="E59" t="str">
            <v>CHEMISTRY, MULTIDISCIPLINARY</v>
          </cell>
          <cell r="F59" t="str">
            <v>Antiproliferative activity,Metal complex,Mixed ligand,Photoluminescence,Schiff base</v>
          </cell>
          <cell r="H59" t="str">
            <v>Q3</v>
          </cell>
        </row>
        <row r="60">
          <cell r="B60" t="str">
            <v>10.1002/slct.202301192</v>
          </cell>
          <cell r="C60" t="str">
            <v>"AbstractIn this study, the chromatographic behavior of basic nitrogen in the structure of synthesized compounds containing some benzimidazolium salts (SAâ€61, SAâ€63, SAâ€97) was determined in hydroâ€organic mixtures containing polar aprotic acetonitrile and polar protic water. Protonation constant (values of studied compounds in 40, 45, 50, and 55â€‰% (v/v) acetonitrileâ€water binary mixtures at 37â€‰Â°C were obtained by using the reverse phase liquid chromatography method. The method is based on a model that relates the chromatographic behavior of the determined analytes to pH. The relationship between the calculatedvalues and the macroscopic properties of acetonitrile was investigated. The agreement between the pKavalues in the water medium determined by this approach was determined by the tâ€test. Using Abraham's solute parameters, thevalues at 25â€‰Â°C were also estimated without performing an experimental study. By using thevalue calculated for each compound, the ionization percentages were calculated at different pH (1â€“12) values with the Hendersonâ€Hasselbalch equation. The aboveâ€mentioned compounds were also tested on human lung and liver cancer cell lines using the 3â€(4,5â€dimethylthiazolâ€2â€yl)â€2,5â€diphenyl tetrazolium bromide (MTT) method for 48â€…h. One of the compounds (SAâ€97) demonstrated antiproliferative effect against both cell lines screened."</v>
          </cell>
          <cell r="E60" t="str">
            <v>CHEMISTRY, MULTIDISCIPLINARY</v>
          </cell>
          <cell r="F60" t="str">
            <v>Benzimidazole,cytotoxic activity,pK(a) value,acetonitrile-water mixtures,modeling of retention</v>
          </cell>
          <cell r="H60" t="str">
            <v>Q3</v>
          </cell>
        </row>
        <row r="61">
          <cell r="B61" t="str">
            <v>10.1002/slct.202302262</v>
          </cell>
          <cell r="C61" t="str">
            <v>"AbstractIn the present work, green synthesis is utilized in the synthesis of silver nanoparticles with hazelnut (Corylus Colurna) husk which is the outer leaf part of the hazelnut shell and is considered bioâ€waste. According to transmission electron microscopy and xâ€ray diffraction analysis, the morphology of the silver nanoparticles synthesized by 0.1â€…g/mL hazelnut husk extract is found to be spherical with an average diameter of 6.57â€…nm and possesses ultraâ€narrow size distribution. UVâ€visible spectrometry reveals the absorbance peak range between 450â€“475â€…nm which is in the range of surface plasmon resonance peak of silver nanoparticles with spherical morphology. Antibacterial properties of the synthesized silver nanoparticles were tested on E. coli and significant antimicrobial activity was found with up to 79â€‰% areal inhibition efficiency. The research revealed that the hazelnut husk extract, a reducing agent used in syntheses with different mass concentrations of hazelnut husk extract, also affects the size of the nanoparticles, allowing for the possibility of controlling their size. The antibacterial properties of silver nanoparticles, synthesized in a spherical form of different sizes, correspondingly increased their effect on bacteria which is observed in the inhibition zone. The synthesis of silver nanoparticles, which can be used in many fields for agriculture, cosmetics, and medical purposes, using plant extract and minimal chemicals is crucial because it affects its toxicity. The synthesis of silver nanoparticles with hazelnut husk not only reduces the chemical waste and toxicity, but it is both easily accessible and helps the environment and sustainability by recycling a normally considered bioâ€waste byâ€product of highâ€valueâ€added crop to a technologically valuable product silver. Moreover, synthesized silver nanoparticles could be an essential part of applications ranging from antibacterial surface treatments to drug delivery systems."</v>
          </cell>
          <cell r="E61" t="str">
            <v>CHEMISTRY, MULTIDISCIPLINARY</v>
          </cell>
          <cell r="F61" t="str">
            <v>Hazelnut Husk,Silver nanoparticles,Green synthesis,Anti-microbial,Recycle</v>
          </cell>
          <cell r="H61" t="str">
            <v>Q3</v>
          </cell>
        </row>
        <row r="62">
          <cell r="B62" t="str">
            <v>10.1002/slct.202302561</v>
          </cell>
          <cell r="C62" t="str">
            <v>"AbstractCancer, one of the most deadly diseases worldwide, is still a crucial challenge to human wellâ€being. Hence, the design and development of modern protocols to cure diverse kinds of cancer seem highly necessary. On the other hand, benzimidazole, as an essential pharmacophore, exhibits various biological and therapeutic potency. This compound is wellâ€known for its pharmaceutical features, including antifungal, antiviral, antibacterial, and anticancer activities. Therefore, benzimidazole derivatives have played an essential role due to their outstanding anticancer capability, apoptotic effect, and inhibitory potential. In recent decades, numerous anticancer drug types of research have been concentrated on finding new and practical strategies for employing benzimidazoleâ€based compounds. This review focuses on the latest advancements and methodologies for exploiting various benzimidazoleâ€bearing compounds for the treatment of varied sorts of cancer, considering the mechanism of their function against cancer cell lines."</v>
          </cell>
          <cell r="E62" t="str">
            <v>CHEMISTRY, MULTIDISCIPLINARY</v>
          </cell>
          <cell r="F62" t="str">
            <v>Anticancer activity,Benzimidazole derivatives,Cytotoxicity,Inhibition effect,Pharmacophore</v>
          </cell>
          <cell r="H62" t="str">
            <v>Q3</v>
          </cell>
        </row>
        <row r="63">
          <cell r="B63" t="str">
            <v>10.1002/slct.202303053</v>
          </cell>
          <cell r="C63" t="str">
            <v>"AbstractNovelN,Nâ€disubstituted benzimidazolium salts were efficaciously synthesized in moderate to high yields and identified via1H NMR and13C NMR analyses. These compounds were tested on human liver cancer, prostate cancer, and normal embryonic kidney cell lines for 72â€…h. The results demonstrated that these compounds had antiproliferative activity. In particular, it was found that one of the compounds, 1â€(3â€chlorobenzyl)â€3â€(3â€methylbenzyl)â€1Hâ€benzo[d]imidazolâ€3â€ium chloride, showed very high activity against liver cancer cell line and the IC50value of this compound was almost twice as low as the IC50value of cisplatin. The anticancer activity potential of the compounds was explored through computational methods to support the experimental study results. The binding potential of the compounds to human sulfotransferase 1A1 (SULT1A1) was investigated through molecular docking and molecular dynamics simulation. Their electrochemical properties were computed via density functional theory. The molecular docking study exhibited that 1â€(3â€methylbenzyl)â€3â€(4â€nitrobenzyl)â€1Hâ€benzo[d]imidazolâ€3â€ium chloride had the highest potential to bind to SULT1A1. The molecular dynamics study showed that the synthesized compounds formed a stable complex. Furthermore, the density functional theory study exhibited that 1â€(3â€chlorobenzyl)â€3â€(4â€fluorobenzyl)â€1Hâ€benzo[d]imidazolâ€3â€ium chloride might have the highest chemical stability."</v>
          </cell>
          <cell r="E63" t="str">
            <v>CHEMISTRY, MULTIDISCIPLINARY</v>
          </cell>
          <cell r="F63" t="str">
            <v>Benzimidazole,Cytotoxic activity,DFT,Docking,MD simulation</v>
          </cell>
          <cell r="H63" t="str">
            <v>Q3</v>
          </cell>
        </row>
        <row r="64">
          <cell r="B64" t="str">
            <v>10.1002/suco.201900362</v>
          </cell>
          <cell r="C64" t="str">
            <v>"AbstractFiberâ€reinforced concrete exhibits a heterogeneous microstructure formed by aggregates, fibers and a matrix, where the stress from external forces can lead to cracking and fracture. This paper discusses the development of a computational measure for predicting the fiber's efficacy by means of the energy absorbed within the initiated area of the cracks. The analytical development was verified with experimental data from the literature and the results were justified with numerical simulations in the elastic regime. This development couples the localization of the stress in the crack tip with the random distribution of the cracks, which leads to the spatial strain field. Such percolationâ€based quantification of the cracks in the earlyâ€stage particularly is useful for effective utilization of fibers during the cracking progress."</v>
          </cell>
          <cell r="E64" t="str">
            <v>CONSTRUCTION &amp; BUILDING TECHNOLOGY|ENGINEERING, CIVIL</v>
          </cell>
          <cell r="F64" t="str">
            <v>absorbed energy,fiber reinforcement,fracture,percolation</v>
          </cell>
          <cell r="H64" t="str">
            <v>Q2</v>
          </cell>
        </row>
        <row r="65">
          <cell r="B65" t="str">
            <v>10.1002/tesj.518</v>
          </cell>
          <cell r="C65" t="str">
            <v>"Investigating the foreign and second language (L2) motivational self system (L2MSS) of Turkish sixth graders, this study reports relationships among three components (ideal L2 self, oughtâ€to L2 self, and L2 learning experience) of the L2MSS and the variables of school type (public and private), gender, and intended effort. Data were collected from 170 students in two public and two private secondary schools in northwestern Turkey through a questionnaire. The results of correlation analysis indicate a strong positive correlation between ideal L2 self and L2 learning experience, and the variables of school type and gender did not make a difference. Intended effort was found to have a strong positive correlation with these L2MSS components. The results of multiple regression analysis provide further evidence for especially intended effort as a significant predictor of L2MSS, whereas the school type and gender did not contribute to the system. The major implications of the study and future research possibilities are discussed."</v>
          </cell>
          <cell r="E65" t="str">
            <v>EDUCATION &amp; EDUCATIONAL RESEARCH</v>
          </cell>
          <cell r="H65" t="str">
            <v>Q2</v>
          </cell>
        </row>
        <row r="66">
          <cell r="B66" t="str">
            <v>10.1007/s00125-020-05374-3</v>
          </cell>
          <cell r="C66" t="str">
            <v>"Springer Nature remains neutral with regard to jurisdic-tional claims in published maps and institutional affiliations."</v>
          </cell>
          <cell r="E66" t="str">
            <v>ENDOCRINOLOGY &amp; METABOLISM</v>
          </cell>
          <cell r="F66" t="str">
            <v>Carbohydrates,CGM,Exercise,Physical activity,Type 1 diabetes</v>
          </cell>
          <cell r="H66" t="str">
            <v>Q1</v>
          </cell>
        </row>
        <row r="67">
          <cell r="B67" t="str">
            <v>10.1007/s00127-023-02487-z</v>
          </cell>
          <cell r="C67" t="str">
            <v>"Purpose The prevalence of parental burnout, a condition that has severe consequences for both parents and children, varies dramatically across countries and is highest in Western countries characterized by high individualism. Method In this study, we examined the mediators of the relationship between individualism measured at the country level and parental burnout measured at the individual level in 36 countries (16,059 parents). Results The results revealed three mediating mechanisms, that is, self-discrepancies between socially prescribed and actual parental selves, high agency and self-directed socialization goals, and low parental task sharing, by which individualism leads to an increased risk of burnout among parents. Conclusion The results confirm that the three mediators under consideration are all involved, and that mediation was higher for self-discrepancies between socially prescribed and actual parental selves, then parental task sharing, and lastly self-directed socialization goals. The results provide some important indications of how to prevent parental burnout at the societal level in Western countries."</v>
          </cell>
          <cell r="E67" t="str">
            <v>PSYCHIATRY|PSYCHIATRY</v>
          </cell>
          <cell r="F67" t="str">
            <v>Exhaustion,Culture,Individualism,Mothers,Fathers</v>
          </cell>
          <cell r="H67" t="str">
            <v>Q2</v>
          </cell>
        </row>
        <row r="68">
          <cell r="B68" t="str">
            <v>10.1007/s00208-023-02606-w</v>
          </cell>
          <cell r="C68" t="str">
            <v>"We reformulate, modify and extend a comparison criteria of $$L^{p}$$ L p norms obtained by Nazarovâ€“Podkorytov and place it in the general setting of interpolation theory and majorization theory. In particular, we give norm comparison criteria for general scales of interpolation spaces, including non-commutative $$L^{p}$$ L p and Lorentz spaces. As an application, we extend the classical Ballâ€™s integral inequality, which lies at the basis of his famous result on sections of the n -dimensional unit cube."</v>
          </cell>
          <cell r="E68" t="str">
            <v>MATHEMATICS</v>
          </cell>
          <cell r="F68" t="str">
            <v>Primary 46B70,46E30,Secondary 47B10,46M35</v>
          </cell>
          <cell r="H68" t="str">
            <v>Q1</v>
          </cell>
        </row>
        <row r="69">
          <cell r="B69" t="str">
            <v>10.1007/s00266-022-03231-9</v>
          </cell>
          <cell r="C69" t="str">
            <v>"Background After the WHO's announcement of the pandemic, the quarantine process started in the country. Suspension of elective surgeries was part of these measures. Having most of its cases as elective operations, plastic and aesthetic surgery became one of the branches most affected by the pandemic process. According to the annual statistical reports of the American Society of Plastic Surgeons, 2020 has been the first year in which a decline was experienced in the number of plastic surgery cases performed since the early 2000s. However, presumably, an increase in demand that occurred in the period after the restrictions was reported as well. In this study, we aim to analyze the role of the pandemic on this increased volume of cosmetic surgeries. Methods Data about the number of cosmetic operations were collected from a multidisciplinary hospital, centrally located in Istanbul, Turkey. A prospective survey was conducted to question the sources of motivation of the patients who would undergo surgery. Results A total of 95 (out of 118) patients fully completed the questionnaires. The number of cosmetic operations in the plastic surgery department of the hospital increased by 49.4% in 2021, compared to 2020, and increased by 29.7% compared to 2019. The number of operations in all disciplines increased by 33.4% in 2021, compared to 2020, and increased by 13.3% compared to 2019. The six most marked motivations were evaluated separately according to the types of surgery. Despite the variation due to the type of the operations, â€œthe desire to look better after the pandemicâ€ was the leading reason for undergoing surgery with 46.3% (nâ€‰=â€‰44). It was also seen that the most significant motivation was â€œhad cosmetic surgery beforeâ€ with approximately 44.2% among the patients who had undergone cosmetic surgery. Conclusions One of the branches most affected by the outcomes of COVID-19 in many aspects is plastic surgery. The wave of excessive demand following the great decline in the number of operations during the pandemic cannot be evaluated independently from the effects of the pandemic on individuals. Although some of the rules that the pandemic has brought to our lives have begun to lose their validity, social life virtualized and isolated by the 'new normal' will be affecting patients for years. At this point, it is of primary importance for plastic surgeons to understand the needs and concerns of patients in order to adapt to the changing patient demands. Level of Evidence V This journal requires that authors assign a level of evidence to each article. For a full description of these Evidence-Based Medicine ratings, please refer to the Table of Contents or the online Instructions to Authors www.springer.com/00266 ."</v>
          </cell>
          <cell r="E69" t="str">
            <v>SURGERY</v>
          </cell>
          <cell r="H69" t="str">
            <v>Q2</v>
          </cell>
        </row>
        <row r="70">
          <cell r="B70" t="str">
            <v>10.1007/s00500-022-07017-8</v>
          </cell>
          <cell r="C70" t="str">
            <v>"The picture fuzzy set (PFS) just appeared in 2014 and was introduced by Cuong, which is a generalization of intuitionistic fuzzy sets (Atanassov in Fuzzy Sets Syst 20(1):87â€“96, 1986) and fuzzy sets (Zadeh Inf Control 8(3):338â€“353, 1965). The picture fuzzy number (PFN) is an ordered value triple, including a membership degree, a neutral-membership degree, a non-membership degree, of a PFS. The PFN is a useful tool to study the problems that have uncertain information in real life. In this paper, the main aim is to develop basic foundations that can become tools for future research related to PFN and picture fuzzy calculus. We first establish a semi-linear space for PFNs by providing two new definitions of two basic operations, addition and scalar multiplication, such that the set of PFNs together with these two operations can form a semi-linear space. Moreover, we also provide some important properties and concepts such as metrics, order relations between two PFNs, geometric difference, multiplication of two PFNs. Next, we introduce picture fuzzy functions with a real domain that is also known as picture fuzzy functions with time-varying values, called geometric picture fuzzy function (GPFFs). In this framework, we give definitions about the limit of GPFFs and sequences of PFN. The important limit properties are also presented in detail. Finally, we prove that the metric semi-linear space of PFNs is complete, which is an important property in the classical mathematical analysis."</v>
          </cell>
          <cell r="E70" t="str">
            <v>COMPUTER SCIENCE, ARTIFICIAL INTELLIGENCE|COMPUTER SCIENCE, INTERDISCIPLINARY APPLICATIONS</v>
          </cell>
          <cell r="F70" t="str">
            <v>Picture fuzzy numbers,Metric semi-linear space,Picture fuzzy calculus,Geometric picture fuzzy functions</v>
          </cell>
          <cell r="H70" t="str">
            <v>Q2</v>
          </cell>
        </row>
        <row r="71">
          <cell r="B71" t="str">
            <v>10.1007/s00500-023-08173-1</v>
          </cell>
          <cell r="C71" t="str">
            <v>"The challenge of segmentation for noisy images, especially those that have light in their backgrounds, still exists in many advanced state-of-the-art segmentation models. Furthermore, it is a tedious activity and significantly difficult to segment such images. In this article, we offer and propose a novel variational model for the concurrent restoration and segmentation of noisy images that have intensity inhomogeneity and high contrast background illumination and light. The suggested concept combines the multi-phase segmentation technology with the statistical approach in terms of local region knowledge and details of circular regions that are, in fact, centered at every pixel to enable in-homogeneous image restoration. Nevertheless, the suggested approach is expressed as a fuzzy set and is resolved using the multiplier alternating direction minimization approach. Through several tests and numerical simulations with plausible assumptions, we have evaluated the correctness, accuracy, and resilience of the suggested model over various kinds of real and synthesized images in the existence of intensity inhomogeneity and light in the background. Additionally, the findings are contrasted with those from cutting-edge two-phase and multi-phase methods, proving the superiority of our proposed approach for images with noise, background light, and inhomogeneity. We observed that the three models considered in the comparison to our proposed model fail to properly segment the object of interest. Furthermore, the Jaccard similarity metric shows the capability of our model to handle accurate segmentation of complex shapes with intensity."</v>
          </cell>
          <cell r="E71" t="str">
            <v>COMPUTER SCIENCE, ARTIFICIAL INTELLIGENCE|COMPUTER SCIENCE, INTERDISCIPLINARY APPLICATIONS</v>
          </cell>
          <cell r="F71" t="str">
            <v>Image segmentation,Image restoration,Curve evolution,Total variation,Image processing,Convex function,Selective segmentation,Medical images,Thresholding technique,Mumford-Shah model,Alternating direction method</v>
          </cell>
          <cell r="H71" t="str">
            <v>Q2</v>
          </cell>
        </row>
        <row r="72">
          <cell r="B72" t="str">
            <v>10.1007/s00784-022-04733-1</v>
          </cell>
          <cell r="C72" t="str">
            <v>"Objectives To investigate the effects of blood and platelet-rich fibrin (PRF), commonly used scaffolds in regenerative endodontic treatment (RET), on the hydration, microstructure, and color stability of three hydraulic calcium silicate cements (HCSCs), OrthoMTA, RetroMTA, and TotalFill-BC-RRM. Materials and methods The HCSCs were prepared and placed into polyethylene molds and transferred to Eppendorf tubes containing PRF, blood, or PBS and then incubated for 1Â week or 1Â month. The microstructure and hydration of the cements were studied by scanning electron microscopy (SEM), energy-dispersive X-ray spectroscopy (EDS), and X-ray diffraction (XRD). The chromatic alteration of materials was also measured using a spectrophotometer. The data for color stability were analyzed using 2-way analysis of variance and Tukey post hoc tests. Results There was no significant difference between the color stability of cements exposed to PBS ( p â€‰&gt;â€‰0.05). The chromatic alteration of cements exposed to blood was significantly greater than those exposed to PRF and PBS ( p â€‰&lt;â€‰0.001). In the presence of blood and PRF, the color change of OrthoMTA was significantly greater than that of RetroMTA and TotalFill ( p â€‰&lt;â€‰0.05), with no significant difference between RetroMTA and TotalFill ( p â€‰&gt;â€‰0.05). XRD analysis of all cements revealed a calcium hydroxide peak after 1-week and 1-month exposure to the media; however, OrthoMTA and TotalFill exposed to blood and PRF for 1Â month showed weaker calcium hydroxide peaks. SEM images revealed cements exposed to PBS had a different surface microstructure compared to those exposed to blood and PRF. Furthermore, the surface microstructure of HCSCs was influenced by the type of cement radiopacifier (bismuth oxide or zirconium oxide). EDS analysis of the elemental composition in all groups displayed peaks of Ca, O, C, Si, P, and Al. Conclusions Color stability, hydration behavior, and microstructure of HCSCs were affected by exposure to PRF and blood and the type of cement radiopacifier. Clinical relevance As some important physicochemical properties of HCSCs could be influenced by the environmental conditions and the type of radiopacifier, alternatives to blood clot and HCSCs containing substitutes for bismuth oxide might be more suitable in RETs."</v>
          </cell>
          <cell r="E72" t="str">
            <v>DENTISTRY, ORAL SURGERY &amp; MEDICINE</v>
          </cell>
          <cell r="F72" t="str">
            <v>Calcium silicate cements,Color stability,Hydration,Microstructure,Mineral trioxide aggregate,Regenerative endodontic treatment</v>
          </cell>
          <cell r="H72" t="str">
            <v>Q2</v>
          </cell>
        </row>
        <row r="73">
          <cell r="B73" t="str">
            <v>10.1007/s10586-022-03728-7</v>
          </cell>
          <cell r="C73" t="str">
            <v>"Transitioning cloud-based Hadoop frameworks from IaaS to PaaS, which are commercially conceptualized as pay-as-you-go or pay-per-use, often reduces the associated system costs. However, the managed Hadoop systems obscure the inner performance dynamics of the platform and present a black-box behavior to the end-users. The aim of this study was to investigate the resource utilization of current managed Hadoop platforms. Thus, we explored three prominent Hadoop-on-PaaS proposals as they come out-of-the-box and conducted Hadoop-specific workloads using the HiBench Benchmark Suite. During the benchmark executions, the system resource utilization data from the worker nodes were collected and analyzed. The results indicated that the same property specifications among cloud services neither do guarantee similar performance outputs, nor produce consistent results based on different workloads within themselves. We anticipate that the managed systemsâ€™ architectures and pre-configurations play a crucial role in the performance outcomes."</v>
          </cell>
          <cell r="E73" t="str">
            <v>COMPUTER SCIENCE, INFORMATION SYSTEMS|COMPUTER SCIENCE, THEORY &amp; METHODS</v>
          </cell>
          <cell r="F73" t="str">
            <v>Big Data,Managed Hadoop,Hadoop-on-PaaS,HiBench,Performance evaluation</v>
          </cell>
          <cell r="H73" t="str">
            <v>Q2</v>
          </cell>
        </row>
        <row r="74">
          <cell r="B74" t="str">
            <v>10.1007/s10608-023-10393-6</v>
          </cell>
          <cell r="C74" t="str">
            <v>"Whether the false memory dysfunction in schizophrenia is at the early (encoding, perceptual) or later (retrieval) stages and how delusions affect it remains unclear. In this study, we examined the perception and memory biases in schizophrenia patients with (Sch/D; nâ€‰=â€‰31) and without delusions (Sch/Nd; nâ€‰=â€‰32) and compared them with healthy controls (HCs; nâ€‰=â€‰35). We used the Deese Roediger McDermott (DRM) Paradigm and the Noise Task to measure the false memory and illusory pattern perception (IPP) biases, respectively. We found that the patient groups performed lower in both the recall and recognition phases for the DRM and the Noise tasks and made more errors compared to the HC group. Additionally, the performance of the Sch/D group was remarkably lower than the Sch/Nd and HC groups. Our results indicated that the information-processing problem in schizophrenia exists in both the encoding and retrieval stages. Also found significant relationship between the presence of delusions and the increase in cognitive deficits."</v>
          </cell>
          <cell r="E74" t="str">
            <v>PSYCHOLOGY, CLINICAL</v>
          </cell>
          <cell r="F74" t="str">
            <v>Schizophrenia,Delusion,Information-processing,False memory,Illusory pattern perception</v>
          </cell>
          <cell r="H74" t="str">
            <v>Q1</v>
          </cell>
        </row>
        <row r="75">
          <cell r="B75" t="str">
            <v>10.1007/s10668-023-03300-2</v>
          </cell>
          <cell r="C75" t="str">
            <v>"Food waste is a serious problem, which undermines the achievement of many sustainable development goals (SDGs), despite their consideration in the agendas of many countries and companies. Notoriously, food waste (FW) causes different kinds of pollution that affect public health and social justice, while contributing to economic losses. This waste phenomenon has causes, drivers, and impacts that require rigorous assessments and effective approaches to mitigate its noxious effects, which are a serious concern for universities. Within these institutions, reducing food waste becomes a circular economy strategy, which is being utilized to assist in promoting sustainable development. However, there is a need for urgent attention to the specific causes of food waste and for consistent actions to reduce it, while boosting awareness in the campus community and triggering a change in studentsâ€™ eating habits. The purpose of this study is to analyze what can be done to reduce the levels of food waste at universities. To achieve this, a review of the themeâ€™s state of the art, which is inclusive of an overview of food waste production at universities around the world, is presented. The study employed a qualitative methodology where a comprehensive review of the literature and case studies analyses from selected world regions were considered. The data indicate that a broad variance exists in producing food waste among universities, from 0.12 to 50Â kg/capita/day. More factors influence the problem (e.g., gender, age, season, consumer behavior), as well as strategies to solve and prevent it (e.g., composting, recycling, new designs of packages, trayless meals, education), and benefits leading toward food waste reductions from 13 to 50%. Also, four priority actions were identified to reduce food waste at universities, and these consist of planning and awareness, food preparation and storage, services, and direct waste reuse. With appropriate adaptations, these recommended actions should be deployed as means for reducing food waste at universities around the world, while expanding learning and education in sustainability."</v>
          </cell>
          <cell r="E75" t="str">
            <v>ENVIRONMENTAL SCIENCES|GREEN &amp; SUSTAINABLE SCIENCE &amp; TECHNOLOGY</v>
          </cell>
          <cell r="F75" t="str">
            <v>Sustainable development,Food waste,Food consumption,Universities,Preventive actions</v>
          </cell>
          <cell r="H75" t="str">
            <v>Q2</v>
          </cell>
        </row>
        <row r="76">
          <cell r="B76" t="str">
            <v>10.1007/s10854-023-10127-0</v>
          </cell>
          <cell r="C76" t="str">
            <v>"Black silicon (b-Si) has been receiving a great deal of interest for its potential to be used in applications ranging from sensors to solar cells and electrodes in batteries due to its promising optical, electronic and structural properties. Several approaches have been used to demonstrate the possibility of producing application quality b-Si, which also exhibits light emission properties. The photoluminescence is a useful technique to identify recombination pathways and thus, enable us to optimize device quality. In this work, we report the results of the radiative recombination dynamics in b-Si produced by a technique involving thermal oxidation, photoresist coating and chlorine plasma etching. An ultrafast blue luminescence component competing with non-radiative recombination at surface defects was identified as no-phonon radiative recombination. This component involves two decay processes with a peak energy at around 480Â nm, which have the fast component of about 15Â ps followed by a component of around 50Â ps lifetime. The emission exhibits a slow process in red spectral region with time constant of 1500Â ps. When the surface is smoothed, the lifetime of carriers increased up to 4500Â ps and the emission peak blue shifted indicating downsizing in dimensions. The results are correlated with transmission electron microscopy, localized vibrational modes and spectroscopic ellipsometry and interpreted through the presence of quantum confinement at the tip regions of the wires, surface defects and oxide environment surrounding the nanoscale wires."</v>
          </cell>
          <cell r="E76" t="str">
            <v>ENGINEERING, ELECTRICAL &amp; ELECTRONIC|MATERIALS SCIENCE, MULTIDISCIPLINARY|PHYSICS, APPLIED|PHYSICS, CONDENSED MATTER</v>
          </cell>
          <cell r="H76" t="str">
            <v>Q2</v>
          </cell>
        </row>
        <row r="77">
          <cell r="B77" t="str">
            <v>10.1007/s10924-022-02615-x</v>
          </cell>
          <cell r="C77" t="str">
            <v>"Bone tissue engineering is an emerging technique for repairing large bone lesions. Biomimetic techniques expand the use of organicâ€“inorganic spongy-like nanocomposite scaffolds and platelet concentrates. In this study, a biomimetic nanocomposite scaffold was prepared using lithium-doped bioactive-glass nanoparticles and gelatin/PRGF. First, solâ€“gel method was used to prepare bioactive-glass nanoparticles that contain 0, 1, 3, and 5%wt lithium. The lithium content was then optimized based on antibacterial and MTT testing. By freeze-drying, hybrid scaffolds comprising 5, 10, and 20% bioglass were made. On the scaffolds, human endometrial stem cells (hEnSCs) were cultured for adhesion (SEM), survival, and osteogenic differentiation. Alkaline phosphatase activity and osteopontin, osteocalcin, and Runx2 gene expression were measured. The effect of bioactive-glass nanoparticles and PRGF on nanocomposites' mechanical characteristics and glass-transition temperature ( T _g) was also studied. An optimal lithium content in bioactive glass structure was found to be 3% wt. Nanoparticle SEM examination indicated grain deformation due to different sizes of lithium and sodium ions. Results showed up to 10% wt bioactive-glass and PRGF increased survival and cell adhesion. Also, Hybrid scaffolds revealed higher ALP-activity and OP, OC, and Runx2 gene expression. Furthermore, bioactive-glass has mainly increased ALP-activity and Runx2 expression, whereas PRGF increases the expression of OP and OC genes. Bioactive-glass increases scaffold modulus and T _g continuously. Hence, the presence of both bioactive-glass and nanocomposite scaffold improves the expression of osteogenic differentiation biomarkers. Subsequently, it seems that hybrid scaffolds based on biopolymers, Li-doped bioactive-glass, and platelet extracts can be a good strategy for bone repair. Graphical Abstract"</v>
          </cell>
          <cell r="E77" t="str">
            <v>ENGINEERING, ENVIRONMENTAL|POLYMER SCIENCE</v>
          </cell>
          <cell r="F77" t="str">
            <v>Bone regeneration,PRGF,Bioactive glass,Lithium,Antibacterial,Endometrial stem cell</v>
          </cell>
          <cell r="H77" t="str">
            <v>Q1</v>
          </cell>
        </row>
        <row r="78">
          <cell r="B78" t="str">
            <v>10.1007/s11081-021-09623-1</v>
          </cell>
          <cell r="C78" t="str">
            <v>"AbstractThe Technique for Order Preference by Similarity to Ideal Solution (TOPSIS) is considered among the most frequently used techniques to deal with multi-criteria group decision-making (MCGDM) conflicts. In this article, we have presented an extended TOPSIS technique in the framework of interval type-2 trapezoidal Pythagorean fuzzy numbers (IT2TrPFN). We first projected a novel approach to evaluate the distance between them using ordered weighted averaging operator and $$(\\alpha ,\\beta )$$\n\n(\nÎ±\n,\nÎ²\n)\n\n-cut. Subsequently, we widen the concept of TOPSIS method formed on the distance method with IT2TrPFNs and applied it on MCGDM dilemma by considering the attitudes and perspectives of the decision-makers. Lastly, an application of solar tracking system and numerous contrasts with the other existing techniques are presented to express the practicality and feasibility of our projected approach."</v>
          </cell>
          <cell r="E78" t="str">
            <v>ENGINEERING, MULTIDISCIPLINARY|MATHEMATICS, INTERDISCIPLINARY APPLICATIONS|OPERATIONS RESEARCH &amp; MANAGEMENT SCIENCE</v>
          </cell>
          <cell r="F78" t="str">
            <v>Multi-criteria group decision-making (MCGDM),Interval type-2 trapezoidal Pythagorean fuzzy numbers (IT2TrPFN),Ordered weighted averaging operator (OWA)</v>
          </cell>
          <cell r="H78" t="str">
            <v>Q2</v>
          </cell>
        </row>
        <row r="79">
          <cell r="B79" t="str">
            <v>10.1007/s11117-022-00936-8</v>
          </cell>
          <cell r="C79" t="str">
            <v>"The main result of this paper establishes that the known Arazy-Cwikel property holds for classes of uniformly K-monotone spaces in the quasi-Banach setting provided that the initial couple is mutually closed. As a consequence, we get that the class of all quasi-Banach K-spaces (i.e., interpolation spaces which are described by the real K-method) with respect to an arbitrary mutually closed Banach couple enjoys the Arazy-Cwikel property. Moreover, we show that this property holds also for the class of all interpolation quasi-Banach spaces with respect to a quasi-Banach couple whenever all the couples involved have the uniform CalderÃ³n-Mityagin property. This complements and refines previous results by Arazy-Cwikel and Bykov-Ovchinnikov even in the case of Banach spaces. We apply results obtained to some classical families of spaces."</v>
          </cell>
          <cell r="E79" t="str">
            <v>MATHEMATICS</v>
          </cell>
          <cell r="F79" t="str">
            <v>Interpolation space,Quasi-Banach space,P-convex space,K-functional,Calderon-Mityagin property,Lions-Peetre K-spaces</v>
          </cell>
          <cell r="H79" t="str">
            <v>Q2</v>
          </cell>
        </row>
        <row r="80">
          <cell r="B80" t="str">
            <v>10.1007/s11119-020-09770-y</v>
          </cell>
          <cell r="C80" t="str">
            <v>"AbstractFarm management information system (FMIS) is an important element of precision agriculture to support the decision making process in the agricultural business. Developing FMIS is not trivial and requires the proper design and implementation models for supporting the understandability, enhancing communication and analysis of the design decisions, and the communication among stakeholders. To cope with these challenges, a Domain-specific language (DSL) framework for the design and development of precision-agriculture FMISs is proposed and evaluated. The DSL framework is developed based on a domain-driven design approach in which a feature diagram is provided that represents the common and variant features of the precision agriculture domain. The key requirements for the DSL framework are discussed, the scope of the DSL is defined, and the set of DSLs for supporting FMISs is presented. A controlled experiment demonstrates that the proposed DSL framework is easy to learn and to use, and is effective in developing high-quality system models for precision agriculture."</v>
          </cell>
          <cell r="E80" t="str">
            <v>AGRICULTURE, MULTIDISCIPLINARY</v>
          </cell>
          <cell r="F80" t="str">
            <v>Domain-specific language,Precision agriculture,Farm management information systems,Empirical study,Software engineering,System analysis and design</v>
          </cell>
          <cell r="H80" t="str">
            <v>Q1</v>
          </cell>
        </row>
        <row r="81">
          <cell r="B81" t="str">
            <v>10.1007/s11625-022-01207-x</v>
          </cell>
          <cell r="C81" t="str">
            <v>"As many business activitiesâ€”especially those associated with the energy-intensive industriesâ€”continue to be major sources of greenhouse gas emi"</v>
          </cell>
          <cell r="E81" t="str">
            <v>ENVIRONMENTAL SCIENCES|GREEN &amp; SUSTAINABLE SCIENCE &amp; TECHNOLOGY</v>
          </cell>
          <cell r="F81" t="str">
            <v>Climate change,Tourism business,Aviation industry,Energy sustainability,Paris agreement,Self-regulation,International airports</v>
          </cell>
          <cell r="H81" t="str">
            <v>Q1</v>
          </cell>
        </row>
        <row r="82">
          <cell r="B82" t="str">
            <v>10.1007/s11625-022-01240-w</v>
          </cell>
          <cell r="C82" t="str">
            <v>"AbstractThis paper reports on a comprehensive study, which has investigated the approaches, methods and tools being deployed in implementing living labs among higher education institutions (HEIs) around the world. Two methods were employed. First, a bibliometric analysis of the current emphasis given to living labs in a sustainable development context and in the implementation of the Sustainable Development Goals (SDGs). Second, an empirical study aimed at identifying the use levels of living labs at HEIs. This was accomplished through an analysis of selected case studies that showcased successful approaches to SDGs implementation with living labs, and resulted in a framework for action. There are three main findings from these analyses. The first is that the multidisciplinary character of living labs in the context of sustainable development needs to be considered, to maximize their impacts. Second, most of the studied living labs focus on SDGs 4 and 11, which deal with providing quality education and ensuring the sustainable development of cities and communities. Third, the challenges encountered in the implementation of living labs refer to (1) the complexities in institutional administration, (2) the tensions between different groups of interest that need to be addressed by enhanced communication, and (3) the necessity to pay attention to the demand of using sustainability and innovation as a strategy in the operations of living labs. The paper draws from the experiences and lessons learned and suggests specific measures, which will improve the use of living labs as more systemic tools towards the implementation of the SDGs.\n"</v>
          </cell>
          <cell r="E82" t="str">
            <v>ENVIRONMENTAL SCIENCES|GREEN &amp; SUSTAINABLE SCIENCE &amp; TECHNOLOGY</v>
          </cell>
          <cell r="F82" t="str">
            <v>Innovation,Collaboration,Academic research,Learning opportunities,Institutional sustainability profile</v>
          </cell>
          <cell r="H82" t="str">
            <v>Q1</v>
          </cell>
        </row>
        <row r="83">
          <cell r="B83" t="str">
            <v>10.1007/s11748-020-01500-5</v>
          </cell>
          <cell r="C83" t="str">
            <v>"Here, we report a 54-year-old man who underwent double-sleeve left upper lobectomy for lung cancer and his postoperative course was complicated with COVID-19 pneumonia. Five days after his discharge from hospital, he was re-admitted with mild fever and bilateral multiple ground glass opacities on his chest CT. PCR testing confirmed COVID-19 infection and he was treated according to policies established by our nationâ€™s health authority. He is still receiving adjuvant chemotherapy and remains well at 3 months after the operation."</v>
          </cell>
          <cell r="E83" t="str">
            <v>CARDIAC &amp; CARDIOVASCULAR SYSTEMS|SURGERY</v>
          </cell>
          <cell r="F83" t="str">
            <v>Double sleeve lobectomy,Postoperative complication,COVID-19 pneumonia</v>
          </cell>
          <cell r="H83" t="str">
            <v>Q4</v>
          </cell>
        </row>
        <row r="84">
          <cell r="B84" t="str">
            <v>10.1007/s12144-021-01855-9</v>
          </cell>
          <cell r="C84" t="str">
            <v>"To support mothersâ€™ positive parenting practices and designing effective early interventions in developing countries like Turkey, understanding the factors associated with feelings of helplessness in caregiving can play an important role. Therefore, we explored how mothersâ€™ depression and anxiety symptoms, and emotion regulation strategies of expressive suppression and cognitive reappraisal can contribute to caregiving helplessness during toddlerhood. We also examined whether depression and anxiety can mediate the relationship between emotion regulation strategies and caregiving helplessness. A sample of 552 healthy Turkish mothers ( MAge â€‰=â€‰32.11) with 1â€“4Â year old healthy children ( MAge â€‰=â€‰1.51) replied to advertisements we shared face-to-face and filled out a pack of questionnaires including a demographic form, Emotion Regulation Questionnaire, Brief Symptom Inventory and Caregiving Helplessness Questionnaire. A series of path analysis were conducted to reveal the association between emotion regulation strategies (cognitive reappraisal and emotional suppression), depression and anxiety symptoms, and caregiving helplessness. After controlling for socio-economic status (SES), maternal anxiety but not maternal depression positively predicted caregiving helplessnes. Unlike cognitive reappraisal, expressive suppression positively predicted caregiving helplessness. SES had an indirect effect (via suppression) on caregiving helplessness on caregiving helplessness. In toddlerhood, maternal anxiety rather than depression, and expressive supression rather than cogntivie reappraisal could be potential risk factors for caregiving helplessness. Thus, these can be critical target areas for effective early interventions."</v>
          </cell>
          <cell r="E84" t="str">
            <v>PSYCHOLOGY, MULTIDISCIPLINARY</v>
          </cell>
          <cell r="F84" t="str">
            <v>Maternal caregiving helplessness,Expressive suppression,cognitive reappraisal,Emotion regulation,Maternal depression,Maternal anxiety</v>
          </cell>
          <cell r="H84" t="str">
            <v>Q2</v>
          </cell>
        </row>
        <row r="85">
          <cell r="B85" t="str">
            <v>10.1007/s12144-021-02434-8</v>
          </cell>
          <cell r="C85" t="str">
            <v>"Counselor education requires a comprehensive curriculum including entry-level courses as counseling skills and techniques which foster studentsâ€™ basic knowledge in counseling and perceived counseling self-efficacy (CSE). Counselor candidates are provided opportunities to observe skills and techniques in practice through video modeling (VM) as one of the most favored teaching methods. The use of VM is not a common method in counselor training in Turkey; therefore, first aim of the current study was to investigate how VM-integrated counseling skills and techniques course affected studentsâ€™ perceived counseling techniques efficacy and CSE. The second aim was to gain a deeper understanding of the use of VM as a teaching method in this course. A mixed-methods sequential explanatory design was used. The research setting of the current study was the undergraduate counseling skills and techniques course that integrated 10 previously developed short videos about counseling techniques or processes. There were 41 third-year students enrolled in this course who participated in the study (quantitative phase). Seven voluntary students (out of 41) participated in the focus group (qualitative phase). The paired samples t-test was applied to analyze the effectiveness of VM and the content analyses were conducted to examine qualitative data. Results showed that the VM-integrated course increased studentsâ€™ perceived efficacy in using techniques and general CSE. Results of the focus group were categorized under four themes and provided critical insights to better understand the factors leading to increased self-efficacy. The results of this study were discussed in the light of previous literature on counselor education."</v>
          </cell>
          <cell r="E85" t="str">
            <v>PSYCHOLOGY, MULTIDISCIPLINARY</v>
          </cell>
          <cell r="F85" t="str">
            <v>Counseling self-efficacy,Counseling skills,Counseling techniques,Mental health practitioners,Video-modeling</v>
          </cell>
          <cell r="H85" t="str">
            <v>Q2</v>
          </cell>
        </row>
        <row r="86">
          <cell r="B86" t="str">
            <v>10.1007/s12144-023-04430-6</v>
          </cell>
          <cell r="C86" t="str">
            <v>"Based on the person-centered approach and the EVLN (exit, voice, loyalty, neglect) model, this study explores how the components of commitment create â€œprofilesâ€ and the implications of this for voice behaviors in response to malpractice at work. The study includes not just affective and continuance commitment forms but also a commitment to the team as a multi-target commitment. A survey was conducted of 518 employees from a broad range of organizations in Turkey. An attempt was made to differentiate the EVLN responses across diverse commitment profiles by expanding the context. Four clusters (low commitment, weakly-committed, affectiveâ€“team dominant, and continuance dominant) were identified using k-means cluster analysis. Analysis of the variance results indicated that the affectiveâ€“team dominant profile demonstrated the constructive voice. The low commitment profile showed the least desirable outcomes (exit and neglect), followed by the weakly-committed profile. The continuance dominant profile also demonstrated passive behaviors (neglect and patience). Affective and team commitments, which have similar foci, were found to be the primary drivers of voice behavior, especially when combined with low continuance commitment. Also, continuance commitment did not contribute to the voice behavior once a certain level of affective and team commitment was seen. This study contributes to expanding commitment profiles for data from Turkey by explaining diverse EVLN responses to dissatisfaction at work."</v>
          </cell>
          <cell r="E86" t="str">
            <v>PSYCHOLOGY, MULTIDISCIPLINARY</v>
          </cell>
          <cell r="F86" t="str">
            <v>Organizational commitment,Team commitment,Exit,Voice,Loyalty,Neglect</v>
          </cell>
          <cell r="H86" t="str">
            <v>Q2</v>
          </cell>
        </row>
        <row r="87">
          <cell r="B87" t="str">
            <v>10.1007/s12602-021-09879-0</v>
          </cell>
          <cell r="C87" t="str">
            <v>"The COVID-19 pandemic caused by a novel coronavirus (SARS-CoV-2) is a serious health concern in the twenty-first century for scientists, health workers, and all humans. The absence of specific biotherapeutics requires new strategies to prevent the spread and prophylaxis of the novel virus and its variants. The SARS-CoV-2 virus shows pathogenesis by entering the host cells via spike protein and Angiotensin-Converting Enzyme 2 receptor protein. Thus, the present study aims to compute the binding energies between a wide range of bacteriocins with receptor-binding domain (RBD) on spike proteins of wild type (WT) and beta variant (lineage B.1.351). Molecular docking analyses were performed to evaluate binding energies. Upon achieving the best bio-peptides with the highest docking scores, further molecular dynamics (MD) simulations were performed to validate the structure and interaction stability. Proteinâ€“protein docking of the chosen 22 biopeptides with WT-RBD showed docking scores lower thanâ€‰âˆ’7.9Â kcal/mol. Pediocin PA-1 and salivaricin P showed the lowest (best) docking scores ofâ€‰âˆ’â€‰12Â kcal/mol. Pediocin PA-1, salivaricin B, and salivaricin P showed a remarkable increase in the double mutantâ€™s predictedÂ binding affinity withâ€‰âˆ’13.8Â kcal/mol,â€‰âˆ’13.0Â kcal/mol, andâ€‰âˆ’12.5Â kcal/mol, respectively. Also, a better predictedÂ binding affinity of pediocin PA-1 and salivaricin B against triple mutant was observed compared to the WT. Thus, pediocin PA-1 binds stronger to mutants of the RBD, particularly to double and triple mutants. Salivaricin B showed a betterÂ predicted binding affinity towards triple mutant compared to WT, showing that it might be another bacteriocin with potential activity against the SARS-CoV-2 beta variant. Overall, pediocin PA-1, salivaricin P, and salivaricin B are the most promising candidates for inhibiting SARS-CoV-2 (including lineage B.1.351) entrance into the human cells. These bacteriocins derived from lactic acid bacteria hold promising potential for paving an alternative way for treatment and prophylaxis of WT and beta variants."</v>
          </cell>
          <cell r="E87" t="str">
            <v>BIOTECHNOLOGY &amp; APPLIED MICROBIOLOGY|MICROBIOLOGY</v>
          </cell>
          <cell r="F87" t="str">
            <v>Beta variant,Bacteriocins,COVID-19,Protein-protein docking,SARS-CoV-2,MD simulations</v>
          </cell>
          <cell r="H87" t="str">
            <v>Q2</v>
          </cell>
        </row>
        <row r="88">
          <cell r="B88" t="str">
            <v>10.1007/s13398-022-01359-6</v>
          </cell>
          <cell r="C88" t="str">
            <v>"The main aim of this paper is to develop a general approach, which allows to extend the basics of Brudnyi-Kruglyak interpolation theory to the realm of quasi-Banach lattices. We prove that all K-monotone quasi-Banach lattices with respect to a L-convex quasi-Banach lattice couple have in fact a stronger property of the so-called K(p, q)-monotonicity for some 0&lt;qâ‰¤pâ‰¤1\\documentclass[12pt]{minimal} \\usepackage{amsmath} \\usepackage{wasysym} \\usepackage{amsfonts} \\usepackage{amssymb} \\usepackage{amsbsy} \\usepackage{mathrsfs} \\usepackage{upgreek} \\setlength{\\oddsidemargin}{-69pt} \\begin{document}$$0&lt;q\\le p\\le 1$$\\end{document}, which allows us to get their description by the real K-method. Moreover, we obtain a refined version of the K-divisibility property for Banach lattice couples and then prove an appropriate version of this property for L-convex quasi-Banach lattice couples. The results obtained are applied to refine interpolation properties of couples of sequence lp\\documentclass[12pt]{minimal} \\usepackage{amsmath} \\usepackage{wasysym} \\usepackage{amsfonts} \\usepackage{amssymb} \\usepackage{amsbsy} \\usepackage{mathrsfs} \\usepackage{upgreek} \\setlength{\\oddsidemargin}{-69pt} \\begin{document}$$l^{p}$$\\end{document} - and function Lp\\documentclass[12pt]{minimal} \\usepackage{amsmath} \\usepackage{wasysym} \\usepackage{amsfonts} \\usepackage{amssymb} \\usepackage{amsbsy} \\usepackage{mathrsfs} \\usepackage{upgreek} \\setlength{\\oddsidemargin}{-69pt} \\begin{document}$$L^{p}$$\\end{document}-spaces, considered for the full range 0&lt;p&lt;âˆž\\documentclass[12pt]{minimal} \\usepackage{amsmath} \\usepackage{wasysym} \\usepackage{amsfonts} \\usepackage{amssymb} \\usepackage{amsbsy} \\usepackage{mathrsfs} \\usepackage{upgreek} \\setlength{\\oddsidemargin}{-69pt} \\begin{document}$$0&lt;p&lt;\\infty $$\\end{document}."</v>
          </cell>
          <cell r="E88" t="str">
            <v>MATHEMATICS</v>
          </cell>
          <cell r="F88" t="str">
            <v>Interpolation space,Quasi-Banach space,p-convex space,L-convex space,K -functional,Calderon-Mityagin property,Lions-Peetre K -spaces,l(p)-spaces and L-p-spaces</v>
          </cell>
          <cell r="H88" t="str">
            <v>Q1</v>
          </cell>
        </row>
        <row r="89">
          <cell r="B89" t="str">
            <v>10.1007/s13760-021-01699-x</v>
          </cell>
          <cell r="C89" t="str">
            <v>"We are facing a global pandemic with Severe Acute Respiratory Syndrome Coronavirus 2 (SARS-CoV-2) infection, according to the definition of the World Health Organization (WHO), since 11 March 2020. There are several types of vaccines being used all over the world against SARS-CoV-2 infection. Turkey has already started the vaccination program with an inactivated SARS-CoV-2 vaccine of Sinovac (Vero Cells, Beijing Institute of Biological Products Co., Ltd., Beijing, China), and an mRNA-based COVID-19 vaccine of Pfizer-BioNTech, Germany. Although studies to date indicate the vaccines for COVID-19 have an excellent safety profile, severe complications may occur, as seen with previous virus vaccines [1]. Vaccines are one of the etiological factors of Acute Disseminated Encephalomyelitis (ADEM), an immune-mediated demyelinating disease of the brain and the spinal cord, although it is extremely rare [2, 3]. Herein, we report a 46-year-old woman who presented to the hospital, and reported that she had experienced the first tonicâ€“clonic seizure of her life 4 days ago. She denied any prior illness other than Hashimotoâ€™s thyroiditis for which she was taking levothyroxine 100 mg/daily. She received her second dose of SARS-CoV-2 vaccination with Sinovac 1 month before the seizure. She is a smoker, but did not use illicit drugs or heavy alcohol. She did not have fever, cough, malaise, or headache. Her neurological examination was entirely normal. She had cranial magnetic resonance imaging (MRI) to investigate the etiological cause of her seizure. There were scattered hyperintense lesions in the left thalamus, bilateral corona radiata, left diencephalon, and right parietal cortex on T2 and FLAIR sequences on MRI. Some of these lesions showed mild restricted diffusion on DWI (Fig. 1). We detected no enhancement on post-gadolinium contrast-enhanced images. MRI spectroscopy was performed to rule out a diffuse glioma, and did not show choline (Cho) elevation. Her serum thyroid-stimulating hormone (TSH) level was 0.21 IU/ml (0.35â€“4.949), and free triiodothyronine was 2.4 (normal). The findings of other laboratory tests, including extensive cerebrospinal fluid (CSF) studies, were normal except ANA (1/100) and Anti-SOX1 antibody positivity. In particular, CSF was acellular with normal protein content (45 mm/dL), an IgG index of 0.64 and no oligoclonal bands. CMV IgM and IgG, EBV IgG, VZV IgM, HSV-1 IgM, and IgG antibodies were all negative in CSF. Anti-double-stranded DNA and extractable nuclear antigen (ENA) panel, anti-aquaporin-4 and anti-myelin oligodendrocyte (MOG) antibodies were negative in serum. Her C3 and C4 levels were normal. She denied any rash or artritis or sun sensitivity in her history. She had a negative nasal swab test for SARS-CoV-2, and her SARS-CoV-2 IgG antibody was 877 AU/mL. Thorax CT, and whole-body positron emission tomographyâ€“computed tomography (PET-CT) were unremarkable. She was put on a 1 g/day steroid treatment for 7 days, and her Euthytrox (Levothyroxine Sodium tablets, USP) 100 mg/daily treatment was reduced to 75 mg/ daily accordingly. After 2 weeks of treatment, she had a control MRI, in which the lesions showed prominent prolonged restricted diffusion without any change in the lesionsâ€™ size (Fig. 2). On her clinical follow-up, she did not have any new signs, symptoms, or seizures. Since the patientâ€™s clinical findings do not fulfill the clinical criteria for the diagnosis of ADEM due to the absence of encephalopathy, we prefer to define this clinical situation and MRI findings as an ADEM-like presentation after an inactivated coronavirus vaccine. After reviewing the literature, we have found only one case of ADEM after vaccination for SARS-CoV-2 [4]. The cases had symptoms like * Buse Cagla Ari juvelia@gmail.com"</v>
          </cell>
          <cell r="E89" t="str">
            <v>CLINICAL NEUROLOGY|NEUROSCIENCES</v>
          </cell>
          <cell r="H89" t="str">
            <v>Q3</v>
          </cell>
        </row>
        <row r="90">
          <cell r="B90" t="str">
            <v>10.1007/s13760-021-01855-3</v>
          </cell>
          <cell r="C90" t="str">
            <v>"Contrary to the previous clinical reasoning about a possible relationship or the patient's status with vaccination, the final histopathological diagnosis of the case reported in â€œAcute disseminated encephalomyelitis-like presentation after an inactivated coronavirus vaccineâ€ was a high grade glioma proven by the biopsy, which was unrelated to the vaccine. The authors apologize for any misunderstanding."</v>
          </cell>
          <cell r="E90" t="str">
            <v>CLINICAL NEUROLOGY|NEUROSCIENCES</v>
          </cell>
          <cell r="H90" t="str">
            <v>Q3</v>
          </cell>
        </row>
        <row r="91">
          <cell r="B91" t="str">
            <v>10.1007/s13760-022-01899-z</v>
          </cell>
          <cell r="C91" t="str">
            <v>"Autonomic dysfunction in patients with viral infections has been described before. In this study, we aimed to evaluate autonomic functions in patients with the coronavirus infectious disease 2019 (COVÄ°D-19). In this cross-sectional study, we compared 112 patients who had recovered from COVID-19 and 106 healthy controls. Symptoms of autonomic dysfunction were assessed with the SCOPA-AUT scale. Pupillomotor, urinary and sudomotor subscores of SCOPA-AUT scale were significantly higher in the COVID-19 patient group (pâ€‰=â€‰0.03, pâ€‰=â€‰0,006, pâ€‰=â€‰0.0001, respectively). There were no significant difference in terms of gastrointestinal, cardiovascular, sexual subscores and total SCOPA-AUT scores between the patient and control groups. The presence of fatigue symptom in the acute phase of COVID-19 increased the total SCOPA-AUT score by 2.2 points (pâ€‰=â€‰0.04) whereas the presence of smell loss (ORâ€‰=â€‰5.82, pâ€‰=â€‰0.01) and dyspnea (ORâ€‰=â€‰5.8, pâ€‰=â€‰0.03) were significant risk factors for pupillomotor dysfunction. The urinary, cardiovascular, sexual subscores and the total score of SCOPA-AUT scale were positively correlated with the age of the patient group. Our study suggests that many patients might have prolonged symptoms of autonomic dysfunction after the acute phase of COVID-19 that might worsen the clinical recovery."</v>
          </cell>
          <cell r="E91" t="str">
            <v>CLINICAL NEUROLOGY|NEUROSCIENCES</v>
          </cell>
          <cell r="F91" t="str">
            <v>COVID-19,Autonomic dysfunction,SCOPA-AUT,Sudomotor</v>
          </cell>
          <cell r="H91" t="str">
            <v>Q3</v>
          </cell>
        </row>
        <row r="92">
          <cell r="B92" t="str">
            <v>10.1007/s40121-023-00783-4</v>
          </cell>
          <cell r="C92" t="str">
            <v>"Dear Editor, We have read with great interest the study â€˜â€˜Impact of Early Corticosteroids on Preventing Clinical Deterioration in Non-critically Ill Patients Hospitalized with COVID-19: A Multihospital Cohort Studyâ€™â€™ by Swaminathan et al. [1] which was published in the Infectious Diseases and Therapy in March. In this study, nonICU patients with COVID-19 receiving corticosteroid treatment within the first 2 days of hospitalization were compared with the patient group who did not receive early corticosteroid treatment. Ninety-seven percent of the treatment group received methylprednisolone, while 6.1% received dexamethasone. In this study, where the median prednisolone equivalent dose was 75 mg/day and the median treatment duration was 4 days, 16.7% of the control group received steroid treatment after the 2nd day of hospitalization. According to the multivariable analysis, early corticosteroid use did not reduce in-hospital mortality, the need for intensive care and mechanical ventilation, and the duration of the hospitalization. In this multicenter study, it was reported that early steroid use did not prevent clinical worsening [1]. As stated by the authors, compared to the RECOVERY study [2], which showed a decrease in mortality in non-critically ill hospitalized patients with COVID-19 requiring oxygen therapy, the duration of steroid use was shorter (10 days vs median of 4 days), and almost onefifth of the patients in the control group received steroid therapy. In addition, patients in this study were less severe than those in the RECOVERY study. On the basis of the results of this study, we felt the need to write this letter to highlight the gaps in corticosteroid therapy in COVID-19 and the areas that need further studies. Severe acute respiratory syndrome coronavirus 2 (SARS-CoV-2) is a novel coronavirus belonging to the family Coronaviridae and is now known to be responsible for the coronavirus disease 19 (COVID-19) pandemic. The pathogenesis of SARS-CoV-2 infection mainly consists of three stages. After the person encounters the virus and post inoculation period, the virus binds to the angiotensin-converting enzyme 2 (ACE-2) receptors in the upper respiratory tract, enter the cells, and replicates rapidly. ACE-2 receptors are abundant in F. Yildirim (&amp;) Department of Pulmonary and Critical Care Medicine, Pulmonary Intensive Care Unit, University of Health Sciences, Etlik City Hospital, Ankara, Ankara, Turkey e-mail: ftagassi@hotmail.com"</v>
          </cell>
          <cell r="E92" t="str">
            <v>INFECTIOUS DISEASES</v>
          </cell>
          <cell r="H92" t="str">
            <v>Q2</v>
          </cell>
        </row>
        <row r="93">
          <cell r="B93" t="str">
            <v>10.1007/s42330-023-00264-3</v>
          </cell>
          <cell r="C93" t="str">
            <v>"AbstractConceptually grounded curricular materials in the context of professional development programs facilitate teachersâ€™ adoption of new pedagogies. Even though science, technology, engineering, and mathematics (STEM) professional development opportunities for early grade level teachers continue to receive attention, one existing challenge is to support teachers further in implementing well-defined integrated STEM curricula. The earlySTEM program supports Kâ€“4 teachers with the systematically developed earlySTEM curriculum, its associated curricular materials, and year-long mentoring. The program was implemented in 26 schools. This mid-evaluation investigated teacher perceptions of the earlySTEM program with a focus on contributions and challenges. A total of 134 teachers from the 26 schools responded to a survey with open-ended questions. Survey data were analyzed using a descriptive approach. The findings indicated that the teachers had positive experiences with the earlySTEM program. The results revealed that the earlySTEM program is perceived to have contributed to (a) teachersâ€™ STEM teaching skills and STEM conceptualizations and (b) studentsâ€™ skills development and awareness on the connection of the curriculum content to real-world problems. The results also document the perceived challenge in implementing the earlySTEM curriculum: need for more classroom time. The conclusions offer insights for similar program designs."</v>
          </cell>
          <cell r="E93" t="str">
            <v>EDUCATION, SCIENTIFIC DISCIPLINES</v>
          </cell>
          <cell r="F93" t="str">
            <v>Elementary grades,Kindergarten,STEM education,Teacher professional development</v>
          </cell>
          <cell r="H93" t="str">
            <v>Q3</v>
          </cell>
        </row>
        <row r="94">
          <cell r="B94" t="str">
            <v>10.1007/s42761-020-00028-4</v>
          </cell>
          <cell r="C94" t="str">
            <v>"High levels of stress in the parenting domain can lead to parental burnout, a condition that has severe consequences for both parents and children. It is not yet clear, however, whether parental burnout varies by culture, and if so, why it might do so. In this study, we examined the prevalence of parental burnout in 42 countries (17,409 parents; 71% mothers; Mage = 39.20) and showed that the prevalence of parental burnout varies dramatically across countries. Analyses of cultural values revealed that individualistic cultures, in particular, displayed a noticeably higher prevalence and mean level of parental burnout. Indeed, individualism plays a larger role in parental burnout than either economic inequalities across countries, or any other individual and family characteristic examined so far, including the number and age of children and the number of hours spent with them. These results suggest that cultural values in Western countries may put parents under heightened levels of stress."</v>
          </cell>
          <cell r="E94" t="str">
            <v>PSYCHOLOGY|PSYCHOLOGY, EXPERIMENTAL</v>
          </cell>
          <cell r="F94" t="str">
            <v>Exhaustion,Culture,Individualism,Collectivism,Prevalence</v>
          </cell>
          <cell r="H94" t="str">
            <v>Q2</v>
          </cell>
        </row>
        <row r="95">
          <cell r="B95" t="str">
            <v>10.1007/s43390-022-00548-y</v>
          </cell>
          <cell r="C95" t="str">
            <v>"Abstract\nPurpose\nThe Morbidity and Mortality (M&amp;M) report of the Scoliosis Research Society (SRS) has been collected since 1965 and since 1968 submission of complications has been required of all members. Since 2009, the SRS has collected information on death, blindness, and neurological deficit, with acute infection being added in 2012 and unintentional return to the operating room (OR) being added in 2017. In this report, we use the most recent data submitted to the SRS M&amp;M database to determine the rate of neurological deficit, blindness, acute infection, unintentional return to the OR, and death, while also comparing this information to previous reports.\n\n\nMethods\nThe SRS M&amp;M database was queried for all cases from 2013 to 2020. The rates of death, vision loss, neurological deficit, acute infection, and unintentional return to the OR were then calculated and analyzed. The rates were compared to previously published data if available. Differences in complication rates between years were analyzed with Poisson regression with significance set at Î±â€‰=â€‰0.05.\n\n\nResults\nThe total number of cases submitted per year varied with a maximum of 49,615 in 2018 and a minimum of 40,464 in 2020. The overall reported complication rate from 2013 to 2020 was 2.86%. The overall mortality rate ranged from 0.09% in 2018 to 0.14% in 2015. The number of patients with visual impairment ranged from 4 to 13 between 2013 and 2015 (no data on visual impairment were collected after 2015). The overall infection rate varied from 0.95 in 2020 to 1.30% in 2015. When the infection rate was analyzed based on spinal deformity group, the neuromuscular scoliosis group consistently had the highest infection rate ranging from 3.24 to 3.94%. The overall neurological deficit rate ranged from 0.74 to 0.94%, with the congenital kyphosis and dysplastic spondylolisthesis groups having the highest rates. The rates of unintentional return to the OR ranged from 1.60 to 1.79%. Multiple groups showed a statistically significant decreasing trend for infection, return to the operating room, neurologic deficit, and death.\n\nConclusions\nNeuromuscular scoliosis had the highest infection rate among all spinal deformity groups. Congenital kyphosis and dysplastic spondylolisthesis had the highest rate of neurological deficit postoperatively. This is similar to previously published data. Contrary to previous reports, neuromuscular scoliosis did not have the highest annual death rate. Multiple groups showed a statistically significant decreasing trend in complication rates during the reporting period, with only mortality in degenerative spondylolisthesis significantly trending upwards.\n\nLevel of evidence\nLevel III.\n"</v>
          </cell>
          <cell r="E95" t="str">
            <v>CLINICAL NEUROLOGY|ORTHOPEDICS</v>
          </cell>
          <cell r="F95" t="str">
            <v>Deformity,Complications,Scoliosis</v>
          </cell>
          <cell r="H95" t="str">
            <v>Q3</v>
          </cell>
        </row>
        <row r="96">
          <cell r="B96" t="str">
            <v>10.1016/j.abd.2020.07.024</v>
          </cell>
          <cell r="C96" t="str">
            <v>"Abstract Cast immobilization is used in the management of various injuries of joints and/or limbs. A variety of nail disorders have been reported in association with cast immobilization of the forearm and wrist among a limited number of patients so far. The mechanism was not clearly identified in some of these cases. Here, the authors report two patients with nail disorders appeared after the removal of immobilization cast of forearm and wrist and review the literature."</v>
          </cell>
          <cell r="E96" t="str">
            <v>DERMATOLOGY</v>
          </cell>
          <cell r="F96" t="str">
            <v>Immobilization,Neoplasms,Pyogenic granuloma,Reflex sympathetic dystrophy</v>
          </cell>
          <cell r="H96" t="str">
            <v>Q3</v>
          </cell>
        </row>
        <row r="97">
          <cell r="B97" t="str">
            <v>10.1016/j.abd.2020.09.002</v>
          </cell>
          <cell r="C97" t="str">
            <v>"Abstract  Background: Pruritic urticarial papules and plaques of pregnancy development may have a strong relationship with hormone treatments during in vitro fertilization and hormonal changes during pregnancy.  Objectives: The aim of this study was to evaluate and compare the frequency of papules and plaques of pregnancy and related factors in in vitro fertilization pregnancies and spontaneous pregnancies.  Methods: In this study, 517 in vitro fertilization pregnancies and 1253 spontaneous pregnancies were retrospectively reviewed for papules and plaques of pregnancy frequency. The diagnosis of papules and plaques of pregnancy was performed by referral to the dermatology department and according to the typical clinical manifestations of the disease.  Results: The papules and plaques of pregnancy was more common in all in vitro fertilization pregnancies (including single pregnancies) than in spontaneous pregnancies. Age, Rh positivity, mother weight gain, onset of disease during gestation, duration of disease, birth weight and the frequency of male fetus were similar between the two groups (p &gt; 0.05). The rate of multiple pregnancies was higher in in vitro fertilization pregnancies with papules and plaques of pregnancy than in vitro fertilization pregnancies without papules and plaques of pregnancy (p &lt; 0.001). Duration of progesterone treatment was also significantly longer in in vitro fertilization pregnancies with papules and plaques of pregnancy compared to in vitro fertilization pregnancies without papules and plaques of pregnancy (p &lt; 0.001).  Study limitations: The limitations of the study were the retrospective and single-centered design.  Conclusion: The results of this study indicate that increased progesterone dosage or prolonged treatment may play a role in the pathogenesis papules and plaques of pregnancy."</v>
          </cell>
          <cell r="E97" t="str">
            <v>DERMATOLOGY</v>
          </cell>
          <cell r="F97" t="str">
            <v>IVF,Plaques of pregnancy,Pregnancy,Pruritic urticarial papules</v>
          </cell>
          <cell r="H97" t="str">
            <v>Q3</v>
          </cell>
        </row>
        <row r="98">
          <cell r="B98" t="str">
            <v>10.1016/j.aej.2020.12.046</v>
          </cell>
          <cell r="C98" t="str">
            <v>"In this article, we proposed a new representation of type-2 fuzzy numbers called generalized type-2 fuzzy numbers. Dirichlet, Neumann and Mixed kind of boundary value problem have been considered with the boundary condition as generalized type-2 fuzzy numbers. The theorems have been developed for solving generalized type-2 fuzzy boundary value problems. In every case, suitable examples have also been provided. The solutions graph for fuzzy cases has been plotted and discuss for understanding of the nature of fuzzy solutions."</v>
          </cell>
          <cell r="E98" t="str">
            <v>ENGINEERING, MULTIDISCIPLINARY</v>
          </cell>
          <cell r="F98" t="str">
            <v>Generalized Type-2 fuzzy number,Hukuhara differentiation,(alpha,(alpha)over-bar)-cut,Geometric method for fuzzy differential equation</v>
          </cell>
          <cell r="H98" t="str">
            <v>Q1</v>
          </cell>
        </row>
        <row r="99">
          <cell r="B99" t="str">
            <v>10.1016/j.aej.2022.06.018</v>
          </cell>
          <cell r="C99" t="str">
            <v>"Joint image segmentation and registration of multi-modality images is a crucial step in the field of image prepossessing. The sensitivity of joint segmentation and registration models to noise is a significant challenge. During the registration process of multi-modal images, the similarity measure plays a vital role in measuring the results as a standard. Accordingly, an improved joint model for registering and segmenting multi-modality images is proposed, by utilising the Bhattacharyya distance measure to achieve improved noise robustness of the proposed model as compared to the existing model using the mutual information metric. The proposed model is applied to various medical and synthetic noisy images of multiple modalities. Moreover, the dataset images used in this study have been obtained from well-known, freely available BRATS 2015 and CHAOS datasets, where the proposed model produces satisfactory results as compared to the existing model. Experimental results show that the proposed model outperforms the existing model in terms of the Bhattacharyya distance measure in noisy images. Statistical analysis and comparison are performed through the relative reduction of the new distance measure, Dice similarity coefficient, Jaccard similarity coefficient and Hausdorff distance."</v>
          </cell>
          <cell r="E99" t="str">
            <v>ENGINEERING, MULTIDISCIPLINARY</v>
          </cell>
          <cell r="F99" t="str">
            <v>Image registration,Image segmentation,Linear curvature (LC),Bhattacharyya (BC) distance,Mutual information (MI),Dice similarity coefficient (DSC),Hausdorff distance (HD),Jaccard similarity coefficient (JSC)</v>
          </cell>
          <cell r="H99" t="str">
            <v>Q1</v>
          </cell>
        </row>
        <row r="100">
          <cell r="B100" t="str">
            <v>10.1016/j.aej.2023.10.059</v>
          </cell>
          <cell r="C100" t="str">
            <v>"For conducting an analysis of the experimental data, it is imperative to establish a mathematical correlation between the input and output variables. This entails executing a curve fitting or regression procedure on the data, for which numerous methodologies exist. Within the scope of present investigation, the design variables encompass the solid volume fraction (Ï†) and temperature. Thermal conductivity (TC) of MWCNT-CuO-CeO2 (20-40-40)/water hybrid nanofluid (HNF) is also the objective function. Ten different types of regressors are utilized for regression operations which are Multiple Linear Regression (MLR), Decision Tree (D-Tree), Multi-Layer Perceptron (MLP), Support Vector Machine (SVM), Extreme Learning Machine (ELM), Radial Basis Function (RBF), Adaptive Neuro-Fuzzy Inference System (ANFIS), Gaussian Process Regression (GPR), Multivariate Polynomial Regression (MPR) and Group Method of Data Handling (GMDH). Once the governing equations linking the design variables and the objective functions have been established, these equations can be employed to forecast the simulation data. By substituting the above input values into the equations, we can calculate the corresponding output values for the TC of the HNF. The results obtained from the MPR algorithm are compared to the experimental data. For the GPR, MLR, D-Tree, ELM, MPR, MLP, RBF, SVM, ANFIS, and GMDH algorithms, the maximum margin of error is found to be 0.031, 0.02579, 0.028946, 0.033889, 0.01568, 0.02515, 0.03485, 0.03, 0.0385, and 0.0178, respectively. Moreover, the kernel density estimation diagram indicates the gap between experimental data and data predicted by regression algorithms. Finally, it is evident that the MPR algorithm demonstrates to have a reduced residual dispersion, with the residuals approaching zero."</v>
          </cell>
          <cell r="E100" t="str">
            <v>ENGINEERING, MULTIDISCIPLINARY</v>
          </cell>
          <cell r="F100" t="str">
            <v>Thermal behavior,Hybrid nanofluid,Regressors,Evolutionary algorithms,Artificial neural network modeling</v>
          </cell>
          <cell r="H100" t="str">
            <v>Q1</v>
          </cell>
        </row>
        <row r="101">
          <cell r="B101" t="str">
            <v>10.1016/j.asej.2023.102564</v>
          </cell>
          <cell r="C101" t="str">
            <v>"The stability of the SARS virus can be affected by various environmental factors, including temperature, humidity, and pressure. In the present research, the effect of initial pressure on the stability of the SARS virus in the presence of water/Ag nanofluid (NF) is investigated using molecular dynamics (MD) simulation. The results revealed that initial pressure effectively changes the atomic evolution of the virus-NF system. Numerically, the diffusion coefficient of modeled samples changes from 32.33Â nm2/ns to 9.489Â nm2/ns by initial pressure varies from 1Â bar to 10Â bar. This structural evolution caused interatomic distance and force between virus particle changes. Finally, interaction energy is changed by initial pressure variation, and this parameter varies between âˆ’0.44695Â kcal/mol to âˆ’24.65127Â kcal/mol in defined initial conditions. From MD outputs, it was concluded physical stability of the SARS virus in the presence of water/silver NF can be manipulated by initial pressure. So, the SARS virus destruction process with water/silver NF affected from the initial pressure ratio, appropriately. Future directions for this research project may involve exploring the influence of additional environmental factors and utilizing the gained knowledge to develop antiviral materials. This study establishes a foundation for further investigations into the interaction between environmental factors, NFs, and viral infections, with the potential to contribute to the development of effective strategies for combating viral infections and designing innovative antiviral solutions."</v>
          </cell>
          <cell r="E101" t="str">
            <v>ENGINEERING, MULTIDISCIPLINARY</v>
          </cell>
          <cell r="F101" t="str">
            <v>SARS virus,Silver nanoparticles,Nanofluid,Interaction energy,Molecular dynamics simulation</v>
          </cell>
          <cell r="H101" t="str">
            <v>Q1</v>
          </cell>
        </row>
        <row r="102">
          <cell r="B102" t="str">
            <v>10.1016/j.celrep.2023.112837</v>
          </cell>
          <cell r="C102" t="str">
            <v>"Summary: Mechanical forces are thought to activate mechanosensitive PIEZO channels by changing the conformation of a large transmembrane blade domain. Yet, whether different stimuli induce identical conformational changes in this domain remains unclear. Here, we repurpose a cyclic permuted green fluorescent protein as a conformation-sensitive probe to track local rearrangements along the PIEZO1 blade. Two independent probes, one inserted in an extracellular site distal to the pore and the other in a distant intracellular proximal position, elicit sizable fluorescence signals when the tagged channels activate in response to fluid shear stress of low intensity. Neither cellular indentations nor osmotic swelling of the cell elicit detectable fluorescence signals from either probe, despite the ability of these stimuli to activate the tagged channels. High-intensityÂ flow stimuli are ineffective at eliciting fluorescence signals from either probe. Together, these findings suggest that low-intensity fluid shear stress causes a distinct form of mechanical stress to the cell."</v>
          </cell>
          <cell r="E102" t="str">
            <v>CELL BIOLOGY</v>
          </cell>
          <cell r="H102" t="str">
            <v>Q1</v>
          </cell>
        </row>
        <row r="103">
          <cell r="B103" t="str">
            <v>10.1016/j.csbj.2022.01.016</v>
          </cell>
          <cell r="C103" t="str">
            <v>"Development of effective bivalent ligands has become the focus of intensive research toward modulation of G protein-coupled receptor (GPCR) oligomers, particularly in the field of GPCR pharmacology. Experimental studies have shown that they increased binding affinity and signaling potency compared to their monovalent counterparts, yet underlying molecular mechanism remains elusive. To address this, we performed accelerated molecular dynamics simulations on bivalent-ligand bound Adenosine 2A receptor (A2AR) dimer in the context of a modeled tetramer, which consists of A2AR and dopamine 2 receptor (D2R) homodimers and their cognate G proteins. Our results demonstrate that bivalent ligand impacted interactions between pharmacophore groups and ligand binding residues, thus modulating allosteric communication network and water channel formed within the receptor. Moreover, it also strengthens contacts between receptor and G protein, by modulating the volume of ligand binding pocket and intracellular domain of the receptor. Importantly, we showed that impact evoked by the bivalent ligand on A2AR dimer was also transmitted to apo D2R, which is part of the neighboring D2R dimer. To the best of our knowledge, this is the first study that provides a mechanistic insight into the impact of a bivalent ligand on dynamics of a GPCR oligomer. Consequently, this will pave the way for development of effective ligands for modulation of GPCR oligomers and hence treatment of crucial diseases such as Parkinsonâ€™s disease and cancer."</v>
          </cell>
          <cell r="E103" t="str">
            <v>BIOCHEMISTRY &amp; MOLECULAR BIOLOGY</v>
          </cell>
          <cell r="F103" t="str">
            <v>G protein-coupled receptor,Heterobivalent ligand,Accelerated molecular dynamics,Oligomerization</v>
          </cell>
          <cell r="H103" t="str">
            <v>Q1</v>
          </cell>
        </row>
        <row r="104">
          <cell r="B104" t="str">
            <v>10.1016/j.csite.2023.103653</v>
          </cell>
          <cell r="C104" t="str">
            <v>"One of today's concerns regarding energy storage units is the low rate of storage and release of thermal energy and, as a result, the efficiency loss in these units. Subsequently, different strategies are utilized to solve this concern, such as using phase change materials (PCMs) and nanostructures. The background is the low storage and release rate of thermal energy in energy storage units, which leads to efficiency loss. This issue concerns many applications, including energy storage in buildings, vehicles, and electronic devices. This study aims to investigate the effect of external heat flux (EHF) on the thermal efficiency of a specific heat sink by employing molecular dynamics (MD) simulation. After ensuring the simulated atomic structures are stable, EHF is applied to see how it affects the thermal behaviour of the combination. The obtained results show that by increasing the EHF applied to the prototype, the thermal behaviour of the structure improves. So, with the increase of EHF from 0.1Â W/m2 to 0.5Â W/m2, the heat flux and thermal conductivity (TC) increase from 212.27Â W/m2 to 317.90Â W/mK to 286.71Â W/m2 and 340.03Â W/mK. The findings significantly affect energy storage unit efficiency and can inform future research and development efforts."</v>
          </cell>
          <cell r="E104" t="str">
            <v>THERMODYNAMICS</v>
          </cell>
          <cell r="F104" t="str">
            <v>Phase change material,Heat flux,Thermal performance,Heat sink,Molecular dynamics simulation</v>
          </cell>
          <cell r="H104" t="str">
            <v>Q1</v>
          </cell>
        </row>
        <row r="105">
          <cell r="B105" t="str">
            <v>10.1016/j.csite.2023.103790</v>
          </cell>
          <cell r="C105" t="str">
            <v>"In the perennial quest for heightened efficiency in heat transfer applications, the inadequacy of water's thermal properties necessitates the exploration of innovative solutions. Nanofluids, particularly those comprising water-Fe3O4 nanoliquid, emerge as promising candidates for augmenting 3D natural convection and entropy generation within permeable wavy-walled rectangular enclosures. The present investigation employs a comprehensive mathematical framework, incorporating the Navier-Stokes equations, magnetic field considerations, and the intricate Darcy-Forchheimer porous media. Utilizing the Galerkin finite element method (GFEM) within the computational domain of COMSOL software, we resolve the system of coupled nonlinear partial differential equations, meticulously derived through non-dimensionalization. Graphical representations meticulously elucidate the nuanced impacts of Rayleigh and Darcy numbers on flow streamlines, temperature distribution, Nu number, and the proportions of global and local thermal entropy generation, frictional entropy generation, and total entropy generation. Our discernments underscore that elevating Rayleigh and Darcy numbers yields a substantial augmentation exceeding 120% in convection flow, particularly prominent for DaÂ =Â 10âˆ’2 vis-Ã -vis 10âˆ’5 and RaÂ =Â 106 in comparison to 103. Intriguingly, the optimal positioning of heating surfaces at the bottom right or left surpasses configurations at the bottom middle by a noteworthy margin of approximately 22%. Moreover, the introduction of the Lorentz force, aligned with gravity, manifests a discernible inhibitory effect on flow dynamics, as evidenced by a notable 15% reduction in irreversibility at a Hartmann number of 100."</v>
          </cell>
          <cell r="E105" t="str">
            <v>THERMODYNAMICS</v>
          </cell>
          <cell r="F105" t="str">
            <v>Entropy generation,Darcy-forchheimer relation,Nanofluid,GFEM</v>
          </cell>
          <cell r="H105" t="str">
            <v>Q1</v>
          </cell>
        </row>
        <row r="106">
          <cell r="B106" t="str">
            <v>10.1016/j.csite.2023.103828</v>
          </cell>
          <cell r="C106" t="str">
            <v>"Integrating cooling systems with photovoltaic-thermal (PVT) collectors has the potential to mitigate the exergy consumption in the building sector due to their capability for simultaneous power and thermal energy generation. The simultaneous utilization of nanofluid and geometry modification resulted in a synergetic enhancement in the performance of PVTs and thereby reducing their sizes and costs. In addition, there is still a lack of high accurate predictive model for the estimation of the performance of PVTs at a given Re number and nanofluid concentration ratio to be used in engineering design for the further product commercialization. To this end, the current numerical study investigates the exergy electricity, thermal, and overall exergies of a building-integrated photovoltaic thermal (BIPVT) solar collector with Al2O3/water coolant. The increase in nanoparticle concentration (Ï‰) from 0Â % to 1Â % increased the useful thermal exergy and overall exergy efficiency (Exu,t/ Î¥ov) by 0.3999Â %/0.0497Â %, 1.3959Â %/0.2598Â %, and 0.7489Â %/0.1771Â % at Re numbers of 500, 1000, and 1500, respectively, while Exu,t/ Î¥ov exhibited a reducing trend at ReÂ =Â 2000; 0.3928Â %/0.1056Â % decrease. In addition, the increase in Ï‰ from 0Â % to 1Â % caused the useful electricity and electrical exergy (Exu,e/ Î¥e) to be diminished by 0.0060Â %/0.0025Â % at Res 500 and 1000, and to be escalated by 0.0113Â %/0.0055Â % at Res of 1500 and 2000. Meanwhile, the Re augmentation, from 500 to 2000, improved the Exu,t, Exe, Î¥e, and Î¥ov by 60Â %, 1.26Â %, 1.26Â %, and 17.50Â %, respectively, at different Ï‰ s. In addition, two functions were developed and proposed by applying a group method of data handling-type neural network (GMDH-ANN) to forecast the value of Î¥ov based on two input values (Re and Ï‰). The results showed high accuracy of the proposed model with MSE, EMSE, and R2 of 0.0138, 0.1143, and 0.99785, respectively."</v>
          </cell>
          <cell r="E106" t="str">
            <v>THERMODYNAMICS</v>
          </cell>
          <cell r="F106" t="str">
            <v>BIPVT solar,Numerical analysis,Exergy efficiency,Intelligent forecasting function,Nanofluid</v>
          </cell>
          <cell r="H106" t="str">
            <v>Q1</v>
          </cell>
        </row>
        <row r="107">
          <cell r="B107" t="str">
            <v>10.1016/j.csite.2023.103859</v>
          </cell>
          <cell r="C107" t="str">
            <v>"Nanofluids (NFs) are nanoscale colloidal suspensions containing dense nanomaterials. They are two-phase systems with solid in liquid phase. Due to their high thermal conductivity, nanoparticles increase the thermal conductivity (TC) of base fluids, one of the basic heat transfer parameters, when distributed in the base fluids. The present research investigates the thermal behavior, Brownian motion, and thermophoresis of water/graphene NF affected by different numbers of atomic wall layers (4, 5, 6 and 7) by molecular dynamics (MD) simulation. This investigation reports changes in heat flux (HF), TC, average Brownian displacement, and thermophoresis displacement. By raising the number of atomic wall layers from 4 to 7, the average Brownian displacement and thermophoresis displacement increase from 3.06Â Ã… and 23.88Â Ã… to 3.62 and 25.05Â Ã…, respectively. Increasing the number of layers due to the decrease in temperature increases the temperature difference between the hot and cold points along the channel. It increases the Brownian motion and the maximum temperature. Additionally, by raising the atomic layers of the channel wall, the values of HF and TC increase from 39.54 W/m2 and 0.36 W/mK to 41.18 W/m2 and 0.42 W/mK after 10 ns, respectively. The temperature rose from 1415 to 1538 K. These results are useful in different industries, especially for improving the thermal properties of different NFs."</v>
          </cell>
          <cell r="E107" t="str">
            <v>THERMODYNAMICS</v>
          </cell>
          <cell r="F107" t="str">
            <v>Brownian displacement,Thermophoresis,Thermal behavior,Molecular dynamics simulation,Graphene/ water nanofluid</v>
          </cell>
          <cell r="H107" t="str">
            <v>Q1</v>
          </cell>
        </row>
        <row r="108">
          <cell r="B108" t="str">
            <v>10.1016/j.csite.2023.103901</v>
          </cell>
          <cell r="C108" t="str">
            <v>"Highly combustible elements like beryllium, lithium, Al, Mg, and Zn have the highest combustion, increasing the heat in explosives and propellants. Al can be used because of its greater availability. Reducing the size of Al nanoparticle (NP) increases the combustion rate and decreases the combustion time. This paper studied the effect of initial conditions on the phase transition (PT) and atomic stability times of Fe-coated-aluminium hydride (AlH3) NPs. The molecular dynamics (MD) technique was used in this research. The microscopic behavior of structures was studied by density (Den.), velocity (Vel.), and temperature (Tem.) profiles. Heat flux (HF), PT, and the atomic stability of the structure were examined at different initial pressures (IP) and initial temperatures (IT). According to the achieved results, Den., Vel., and Tem. values had a maximum value of 0.025 atoms/Ã…3, 0.026Â Ã…/ps, and 603Â K. By increasing IT in the simulation box to 350Â K, HF in the samples increases to 75.31Â W/m2. Moreover, the PT time and atomic stability time by increasing IP reach to 5.93 ns and 8.96Â ns, respectively. Regarding the importance of the phenomenon of heat transfer and PT of nanofluids (NFs), the findings of this study are predicted to be useful in various industries, including medicine, agriculture, and others."</v>
          </cell>
          <cell r="E108" t="str">
            <v>THERMODYNAMICS</v>
          </cell>
          <cell r="F108" t="str">
            <v>Nanoparticles,Phase transition,Aluminum hydride,Molecular dynamics simulation</v>
          </cell>
          <cell r="H108" t="str">
            <v>Q1</v>
          </cell>
        </row>
        <row r="109">
          <cell r="B109" t="str">
            <v>10.1016/j.egyr.2023.08.083</v>
          </cell>
          <cell r="C109" t="str">
            <v>"Office buildings have a high amount of internal heat, solar gain, daytime energy consumption and occupancy schedules. Therefore, the increment in the cooling energy demand highlights the shading systems to provide efficient energy retrofit for office buildings. Shading surfaces, to prevent the high amount of solar radiation, are suitable for the collection of solar energy and the integration of photovoltaic systems onto the building envelope. However, the impact of the shading surface on the cooling, heating, and lighting energy consumption and the amount of energy produced by the PV system is a great task as a decision-making problem with multiple independent and dependent variables. This study searches for the installation of a PV integrated shading system to an office building through a decision support methodology. Independent variables such as the shading surface area, and angle and the dependent variables such as the energy, embodied carbon, and cost indicators are analysed within the decision support methodology. The results provide a definitive structure for such decision-making problems. Moreover, findings highlight that although Mono-Si PV options are more efficient in terms of energy generation, Poly-Si PV options are found to be the ideal solutions, due to the lower cost and embodied carbon."</v>
          </cell>
          <cell r="E109" t="str">
            <v>ENERGY &amp; FUELS</v>
          </cell>
          <cell r="F109" t="str">
            <v>Decision-support,Shading strategy,Photovoltaic integration,Cost,Embodied carbon,Energy performance</v>
          </cell>
          <cell r="H109" t="str">
            <v>Q2</v>
          </cell>
        </row>
        <row r="110">
          <cell r="B110" t="str">
            <v>10.1016/j.euros.2021.03.007</v>
          </cell>
          <cell r="C110" t="str">
            <v>"We report on a pediatric case of hemorrhagic cystitis due to BK virus in a patient with acute lymphoblastic leukemia who had undergone bone marrow transplantation. A very large hematoma that almost completely filled the bladder was aspirated using a morcellator via suprapubic percutaneous access, and a thulium laser was then used to cauterize extensive areas of diffuse uroepithelial bleeding. This combined minimally invasive procedure was successful in clearing the bladder hematoma and achieving hemostasis."</v>
          </cell>
          <cell r="E110" t="str">
            <v>UROLOGY &amp; NEPHROLOGY</v>
          </cell>
          <cell r="F110" t="str">
            <v>BK virus,Hemorrhagic cystitis,Thulium laser</v>
          </cell>
          <cell r="H110" t="str">
            <v>Q1</v>
          </cell>
        </row>
        <row r="111">
          <cell r="B111" t="str">
            <v>10.1016/j.ijcard.2022.01.006</v>
          </cell>
          <cell r="C111" t="str">
            <v>"Background: According to clinical practice guidelines, thrombolysis can be administered during the 14 days after the beginning of symptoms in PE. However, the role of the early thrombolysis in PE has not been comprehensively investigated. In this study we evaluated the effect of short symptom-to-thrombolysis time (STT) in these patients who received the thrombolytic therapy within the 48-h. Method: A total of 456 patients with pulmonary embolism who underwent thrombolytic therapy in a tertiary center were included in the current study. The patients were stratified into three groups according to STT as: &lt;12 h (Group 1), 12 to 24 h (Group 2) and &gt; 24 to 48 h (Group 3). In-hospital events and long-term mortality were compared between the groups. Results: Group 3 had higher in-hospital mortality, acute kidney injury, cardiogenic shock, asystole, and the use mechanical ventilation and 3-year mortality compared to the other two groups. The 3-year overall survival for Group 1, 2 and 3 were 82.1%, 77.7% and 25.9% respectively. According to regression analysis, a STT &gt; 24 h was independently associated with in-hospital and long-term mortality. Group 1 and 2 had similar in-hospital outcomes and long-term mortality. Conclusion: A short STT has a great importance in patients with PE who treated with thrombolytic therapy. The efficacy of systemic thrombolysis significantly drops after 24 h. Because of this situation, the period between the symptom onset and thrombolytic therapy should be kept short as much as possible. Â© 2022"</v>
          </cell>
          <cell r="E111" t="str">
            <v>CARDIAC &amp; CARDIOVASCULAR SYSTEMS</v>
          </cell>
          <cell r="F111" t="str">
            <v>Pulmonary embolism,Thrombolysis</v>
          </cell>
          <cell r="H111" t="str">
            <v>Q2</v>
          </cell>
        </row>
        <row r="112">
          <cell r="B112" t="str">
            <v>10.1016/j.jallcom.2020.157279</v>
          </cell>
          <cell r="C112" t="str">
            <v>"Structure, magnetic, photocatalytic and blood compatibility studies of nickel nanoferrites prepared by laser ablation technique in distilled water"</v>
          </cell>
          <cell r="E112" t="str">
            <v>CHEMISTRY, PHYSICAL|MATERIALS SCIENCE, MULTIDISCIPLINARY|METALLURGY &amp; METALLURGICAL ENGINEERING</v>
          </cell>
          <cell r="F112" t="str">
            <v>NiFe2O4 nanoparticles,Subnanosecond laser ablation,Photocatalysis,Hemolytic activity</v>
          </cell>
          <cell r="H112" t="str">
            <v>Q2</v>
          </cell>
        </row>
        <row r="113">
          <cell r="B113" t="str">
            <v>10.1016/j.jestch.2022.101319</v>
          </cell>
          <cell r="C113" t="str">
            <v>"In this article, we presents the theoretical and numerical study of the four dimensional chaotic system which has no equilibrium point in the sense of fractal-fractional Mittagâ€“Leffler kernel. By using the approach of fixed point theory, the existence and uniqueness of solution for the considered model is studied. The approximate solution is acquired by applying the technique of fractional Newtonâ€™s polynomial interpolation. The numerical simulations of the approximate results are presented for different fractal dimension and fractional orders. From the figures we obtained the butterfly-type attractor by using different values of fractal dimension which shows symmetric form. Furthermore, fractal and fractional operators show significant impacts on the dynamics of the non-linear chaotic systems."</v>
          </cell>
          <cell r="E113" t="str">
            <v>ENGINEERING, MULTIDISCIPLINARY</v>
          </cell>
          <cell r="F113" t="str">
            <v>4D chaotic system,Fractal-fractional operator,Existence and uniqueness,Numerical solution</v>
          </cell>
          <cell r="H113" t="str">
            <v>Q1</v>
          </cell>
        </row>
        <row r="114">
          <cell r="B114" t="str">
            <v>10.1016/j.jestch.2023.101553</v>
          </cell>
          <cell r="C114" t="str">
            <v>"The contractions of facial muscles are what shape the expressions produced by the human face. The Facial Action Coding System (FACS) stands as the predominant standard in describing all visual alterations in the face, defining them through Action Units (AU) that articulate the movements occurring in the facial muscles. In this paper, an end-to-end pipeline, CCNN2, is proposed as a deep pre-processing step to detect AUs by processing the features extracted from hidden CNN layers, without exploiting any landmark information in a recursive manner. Trials conducted on three spontaneous datasets (MMI, DISFA, BP4D) along with one in-the-wild dataset (EmotioNet) demonstrate that this method surpasses the results of state-of-the-art approaches in three of the datasets, and even more, its two-module structure increases the overall F1 score in detection in every experiment. The method being proposed is also adaptable to a diverse range of classification applications."</v>
          </cell>
          <cell r="E114" t="str">
            <v>ENGINEERING, MULTIDISCIPLINARY</v>
          </cell>
          <cell r="F114" t="str">
            <v>Facial action unit detection,Convolutional neural networks,Hidden features</v>
          </cell>
          <cell r="H114" t="str">
            <v>Q1</v>
          </cell>
        </row>
        <row r="115">
          <cell r="B115" t="str">
            <v>10.1016/j.jmrt.2021.08.120</v>
          </cell>
          <cell r="C115" t="str">
            <v>"Green technique or chemical co-precipitation technique has been employed to synthesize the MgZnFe2O3, CoZnFe2O3 and NiZnFe2O3 quaternary alloys nanoparticles. The structural properties are investigated by X-ray diffraction (XRD) to determine structural parameters and crystallite size. XRD peaks index numbers and intensities are varied with the atomic number. The study of morphology for the mentioned quaternary alloys nanoparticles is analyzed by scanning electron microscopy (SEM) to measure the grain size. The optical properties are investigated via ultravioletâ€“visible (UVâ€“vis) and Fourier-transform infrared spectroscopy (FTIR) to reveal the changing of absorption, transmission, reflection and bandgap as the atomic number changes for verifying optical dielectric constant and refractive index models. The obtained results suggest that MgZnFe2O3, CoZnFe2O3 and NiZnFe2O3 quaternary alloys nanoparticles are very suitable for potential application in optoelectronics and antibacterial treatment."</v>
          </cell>
          <cell r="E115" t="str">
            <v>MATERIALS SCIENCE, MULTIDISCIPLINARY|METALLURGY &amp; METALLURGICAL ENGINEERING</v>
          </cell>
          <cell r="F115" t="str">
            <v>Quaternary,II-VI,Green synthesis,Bandgap</v>
          </cell>
          <cell r="H115" t="str">
            <v>Q1</v>
          </cell>
        </row>
        <row r="116">
          <cell r="B116" t="str">
            <v>10.1016/j.joes.2021.09.008</v>
          </cell>
          <cell r="C116" t="str">
            <v>"This paper explores some novel solutions to the generalized SchrÃ¶dinger-Boussinesq (gSBq) equations, which describe the interaction between complex short wave and real long wave envelope. In order to derive some novel complex hyperbolic and complex trigonometric function solutions, the sine-Gordon equation method (sGEM) is applied to the gSBq equations. Novel complex hyperbolic and trigonometric function solutions are expressed by the dark, bright, combo dark-bright, W-shaped, M-shaped, singular, combo singular, and periodic wave solutions. The accuracy of the explored solitons is examined under the back substitution to the corresponding equations via the symbolic computation software Maple. It is found from the back substitution outcomes that all soliton solutions satisfy the original equations. The proper significance of the explored outcomes is demonstrated by the three-dimensional (3D) and two-dimensional (2D) graphs, which are presented under the selection of particular values of the free parameters. All the combo-soliton (W-shaped, M-shaped, and periodic wave) solutions are found to be new for the interaction between complex short wave and real long wave envelope in laser physics that show the novelty of the study. Moreover, the applied method provides an efficient tool for exploring novel soliton solutions, and it overcomes the complexities of the solitary wave ansatz method."</v>
          </cell>
          <cell r="E116" t="str">
            <v>ENGINEERING, MARINE|ENGINEERING, OCEAN</v>
          </cell>
          <cell r="F116" t="str">
            <v>Generalized Schr?dinger-Boussinesq,equations,Sine -Gordon expansion method,Soliton solutions</v>
          </cell>
          <cell r="H116" t="str">
            <v>Q1</v>
          </cell>
        </row>
        <row r="117">
          <cell r="B117" t="str">
            <v>10.1016/j.joes.2021.09.019</v>
          </cell>
          <cell r="C117" t="str">
            <v>"Investigated in the present paper is a fifth-order nonlinear evolution (FONLE) equation, known as a nonlinear water wave (NLWW) equation, with applications in the applied sciences. More precisely, a traveling wave hypothesis is firstly applied that reduces the FONLE equation to a 1D domain. The Kudryashov methods (KMs) are then adopted as leading techniques to construct specific wave structures of the governing model which are classified as W-shaped and other solitons. In the end, the effect of changing the coefficients of nonlinear terms on the dynamical features of W-shaped and other solitons is investigated in detail for diverse groups of the involved parameters."</v>
          </cell>
          <cell r="E117" t="str">
            <v>ENGINEERING, MARINE|ENGINEERING, OCEAN</v>
          </cell>
          <cell r="F117" t="str">
            <v>Nonlinear water wave equation,Traveling wave hypothesis,Kudryashov methods,W -shaped and other solitons,Dynamical features</v>
          </cell>
          <cell r="H117" t="str">
            <v>Q1</v>
          </cell>
        </row>
        <row r="118">
          <cell r="B118" t="str">
            <v>10.1016/j.ncrna.2023.11.005</v>
          </cell>
          <cell r="C118" t="str">
            <v>"The emergence of RNA modifications has recently been considered as critical post-transcriptional regulations which governed gene expression. N6-methyladenosine (m6A) modification is the most abundant type of RNA modification which is mediated by three distinct classes of proteins called m6A writers, readers, and erasers. Accumulating evidence has been made in understanding the role of m6A modification of non-coding RNAs (ncRNAs) in cancer. Importantly, aberrant expression of ncRNAs and m6A regulators has been elucidated in various cancers. As the key role of ncRNAs in regulation of cancer hallmarks is well accepted now, it could be accepted that m6A modification of ncRNAs could affect cancer progression. The present review intended to discuss the latest knowledge and importance of m6A epigenetic regulation of ncRNAs including mircoRNAs, long non-coding RNAs, and circular RNAs, and their interaction in the context of cancer. Moreover, the current insight into the underlying mechanisms of therapy resistance and also immune response and escape mediated by m6A regulators and ncRNAs are discussed."</v>
          </cell>
          <cell r="E118" t="str">
            <v>BIOCHEMISTRY &amp; MOLECULAR BIOLOGY</v>
          </cell>
          <cell r="F118" t="str">
            <v>m6A,Cancer,miRNA,lncRNA,circRNA,Immune response</v>
          </cell>
          <cell r="H118" t="str">
            <v>Q1</v>
          </cell>
        </row>
        <row r="119">
          <cell r="B119" t="str">
            <v>10.1016/j.rineng.2022.100685</v>
          </cell>
          <cell r="C119" t="str">
            <v>"Controlling underactuated open-loop unstable systems is challenging. In this study, first, both nonlinear and linear models of a dual-axis reaction wheel pendulum (DA-RWP) are extracted by employing Lagrangian equations which are based on energy methods. Then to control the system and stabilize the pendulum's angle in the upright position, fuzzy logic based controllers for both xÂ âˆ’Â y directions are developed. To show the efficiency of the designed intelligent controller, comparisons are made with its classical optimal control counterparts. In our simulations, as proof of the reliability and robustness of the fuzzy controller, two scenarios including noise-disturbance-free and noisy-disturbed situations are considered. The comparisons made between the classical and fuzzy-based controllers reveal the superiority of the proposed fuzzy logic controller, in terms of time response. The simulation results of our experiments in terms of both mathematical modeling and control can be deployed as a baseline for robotics and aerospace studies as developing walking humanoid robots and satellite attitude systems, respectively."</v>
          </cell>
          <cell r="E119" t="str">
            <v>ENGINEERING, MULTIDISCIPLINARY</v>
          </cell>
          <cell r="F119" t="str">
            <v>Dual-axis reaction wheel pendulum,Fuzzy Logic,Fuzzy controller,Intelligent control,State feedback</v>
          </cell>
          <cell r="H119" t="str">
            <v>Q1</v>
          </cell>
        </row>
        <row r="120">
          <cell r="B120" t="str">
            <v>10.1016/j.rinp.2020.103771</v>
          </cell>
          <cell r="C120" t="str">
            <v>"In the present study, a nonlinear delayed coronavirus pandemic model is investigated in the human population. For study, we find the equilibria of susceptible-exposed-infected-quarantine-recovered model with delay term. The stability of the model is investigated using well-posedness, Routh Hurwitz criterion, Volterra Lyapunov function, and Lasalle invariance principle. The effect of the reproduction number on dynamics of disease is analyzed. If the reproduction number is less than one then the disease has been controlled. On the other hand, if the reproduction number is greater than one then the disease has become endemic in the population. The effect of the quarantine component on the reproduction number is also investigated. In the delayed analysis of the model, we investigated that transmission dynamics of the disease is dependent on delay terms which is also reflected in basic reproduction number. At the end, to depict the strength of the theoretical analysis of the model, computer simulations are presented."</v>
          </cell>
          <cell r="E120" t="str">
            <v>MATERIALS SCIENCE, MULTIDISCIPLINARY|PHYSICS, MULTIDISCIPLINARY</v>
          </cell>
          <cell r="F120" t="str">
            <v>Coronavirus,Nonlinear delay pandemic model,Reproduction number,Stability,Computer simulations</v>
          </cell>
          <cell r="H120" t="str">
            <v>Q2</v>
          </cell>
        </row>
        <row r="121">
          <cell r="B121" t="str">
            <v>10.1016/j.rinp.2020.103784</v>
          </cell>
          <cell r="C121" t="str">
            <v>"This article focus the elimination and control of the infection caused by COVID-19. Mathematical model of the disease is formulated. With help of sensitivity analysis of the reproduction number the most sensitive parameters regarding transmission of infection are found. Consequently strategies for the control of infection are proposed. Threshold condition for global stability of the disease free state is investigated. Finally, using Matlab numerical simulations are produced for validation of theocratical results."</v>
          </cell>
          <cell r="E121" t="str">
            <v>MATERIALS SCIENCE, MULTIDISCIPLINARY|PHYSICS, MULTIDISCIPLINARY</v>
          </cell>
          <cell r="F121" t="str">
            <v>Mathematical model,Basic reproduction number,Next generation matrix,Sensitivity analysis,Global stability,Threshold condition</v>
          </cell>
          <cell r="H121" t="str">
            <v>Q2</v>
          </cell>
        </row>
        <row r="122">
          <cell r="B122" t="str">
            <v>10.1016/j.rinp.2020.103799</v>
          </cell>
          <cell r="C122" t="str">
            <v>"Having advanced numerical techniques in solving fractional problems is always one of the apparent needs in increasing the use of these tools in real-world problems. The major part of the progress made in this area has been due to development of effective numerical methods and techniques. In this article, we study a new approach to analyze the dynamics of an eco-epidemiological through a nonlinear fractional system of differential equations. Eco-epidemiology has become a significant topic of computational biology which connects ecology with epidemiology. In these models, the presence of a disease in one of populations in the environment brings major changes in the essential components of that system. For the model, the equilibrium points of the system are calculated. Then we present the convergence and uniqueness theorems of the solution obtained from the use of the fractional derivative operator. In another part of this research, the algorithm for implementing a numerical technique with high accuracy in approximating the numerical solutions of a fractional-order system is expressed. Using this algorithm, various numerical simulations are considered in the paper regarding to some parametersâ€™ role in the model. Adding significant benefits from fractional-order derivatives to the model will be one of the achievements of this paper. A similar trend can be tested in the study of other models in eco-epidemiological problems."</v>
          </cell>
          <cell r="E122" t="str">
            <v>MATERIALS SCIENCE, MULTIDISCIPLINARY|PHYSICS, MULTIDISCIPLINARY</v>
          </cell>
          <cell r="F122" t="str">
            <v>Mathematical biology,Eco-epidemiological models,Chaotic results,Numerical discretization,Fractional models</v>
          </cell>
          <cell r="H122" t="str">
            <v>Q2</v>
          </cell>
        </row>
        <row r="123">
          <cell r="B123" t="str">
            <v>10.1016/j.rinp.2020.103811</v>
          </cell>
          <cell r="C123" t="str">
            <v>"The outburst of the pandemic Coronavirus disease since December 2019, has severely impacted the health and economy worldwide. The epidemic is spreading fast through various means, as the virus is very infectious. Medical science is exploring a vaccine, only symptomatic treatment is possible at the moment. To contain the virus, it is required to categorize the risk factors and rank those in terms of contagion. This study aims to evaluate risk factors involved in the spread of COVID-19 and to rank them. In this work, we applied the methodology namely, Fuzzy Analytic Hierarchy Process (FAHP) to find out the weights and finally Hesitant Fuzzy Sets (HFS) with Technique for Order Preference by Similarity to Ideal Solution (TOPSIS) is applied to identify the major risk factor. The results showed that â€œlong duration of contact with the infected personâ€ the most significant risk factor, followed by â€œspread through hospitals and clinicâ€ and â€œverbal spreadâ€. We showed the appliance of the Multi Criteria Decision Making (MCDM) tools in evaluation of the most significant risk factor. Moreover, we conducted sensitivity analysis."</v>
          </cell>
          <cell r="E123" t="str">
            <v>MATERIALS SCIENCE, MULTIDISCIPLINARY|PHYSICS, MULTIDISCIPLINARY</v>
          </cell>
          <cell r="F123" t="str">
            <v>Infectious,COVID-19,FAHP,Hesitant Fuzzy Sets (HFS)-TOPSIS,Multi Criteria Decision Making (MCDM)</v>
          </cell>
          <cell r="H123" t="str">
            <v>Q2</v>
          </cell>
        </row>
        <row r="124">
          <cell r="B124" t="str">
            <v>10.1016/j.rinp.2021.103813</v>
          </cell>
          <cell r="C124" t="str">
            <v>"Coronavirus is a pandemic that has become a concern for the whole world. This disease has stepped out to its greatest extent and is expanding day by day. Coronavirus, termed as a worldwide disease, has caused more than 8 lakh deaths worldwide. The foremost cause of the spread of coronavirus is SARS-CoV and SARS-CoV-2, which are part of the coronavirus family. Thus, predicting the patients suffering from such pandemic diseases would help to formulate the difference in inaccurate and infeasible time duration. This paper mainly focuses on the prediction of SARS-CoV and SARS-CoV-2 using the B-cells dataset. The paper also proposes different ensemble learning strategies that came out to be beneficial while making predictions. The predictions are made using various machine learning models. The numerous machine learning models, such as SVM, NaÃ¯ve Bayes, K-nearest neighbors, AdaBoost, Gradient boosting, XGBoost, Random forest, ensembles, and neural networks are used in predicting and analyzing the dataset. The most accurate result was obtained using the proposed algorithm with 0.919 AUC score and 87.248% validation accuracy for predicting SARS-CoV and 0.923 AUC and 87.7934% validation accuracy for predicting SARS-CoV-2 virus."</v>
          </cell>
          <cell r="E124" t="str">
            <v>MATERIALS SCIENCE, MULTIDISCIPLINARY|PHYSICS, MULTIDISCIPLINARY</v>
          </cell>
          <cell r="F124" t="str">
            <v>SARS-CoV,SARS-CoV-2,Coronavirus,Support vector machine (SVM),Naive Bayes,K - nearest neighbors (KNN),Logistic regression,Ensembles,Gradient boosting,Random forest,XGBoost,AdaBoost,Multilayer perceptron (MLP),B-cells,COVD-19</v>
          </cell>
          <cell r="H124" t="str">
            <v>Q2</v>
          </cell>
        </row>
        <row r="125">
          <cell r="B125" t="str">
            <v>10.1016/j.rinp.2021.104006</v>
          </cell>
          <cell r="C125" t="str">
            <v>"In this article, we aim to employ two analytical methods including, the Lie symmetry method and the Jacobi elliptical solutions finder method to acquire exact solitary wave solutions in various forms of (1+1)-dimensional Kawaharaâ€“KdV type equation and modified Kawaharaâ€“KdV type equation. These models are famous models that arise in the modeling of many complex physical phenomena. At the outset, we have generated geometric vector fields and infinitesimal generators of Kawaharaâ€“KdV type equations. The (1+1)-dimensional Kawaharaâ€“KdV type equations reduced into ordinary differential equations (ODEs) using Lie symmetry reductions. Furthermore, numerous exact solitary wave solutions are obtained utilizing the Jacobi elliptical solutions finder method with the help of symbolic computation with Maple. The obtained results are new in the formulation, and more useful to explain complex physical phenomena. The results reveal that these mathematical approaches are straightforward, effective, and powerful methods that can be adopted for solving other nonlinear evolution equations."</v>
          </cell>
          <cell r="E125" t="str">
            <v>MATERIALS SCIENCE, MULTIDISCIPLINARY|PHYSICS, MULTIDISCIPLINARY</v>
          </cell>
          <cell r="F125" t="str">
            <v>Exact solitary wave solutions,Lie symmetry method,Jacobi elliptical method,Kawahara-KdV type equations,Symbolic computations</v>
          </cell>
          <cell r="H125" t="str">
            <v>Q2</v>
          </cell>
        </row>
        <row r="126">
          <cell r="B126" t="str">
            <v>10.1016/j.rinp.2021.104035</v>
          </cell>
          <cell r="C126" t="str">
            <v>"The present paper explores a high-order nonlinear SchrÃ¶dinger equation in a non-Kerr law media with the weak non-local nonlinearity describing solitonsâ€™ propagation through nonlinear optical fibers. To this end, the real and imaginary parts of the model are firstly extracted using a wave variable transformation. The modified Kudryashov method and symbolic computations are then adopted to successfully retrieve optical solitons of the model. The results presented in the current study demonstrate the great performance of the modified Kudryashov method in handling high-order nonlinear SchrÃ¶dinger equations."</v>
          </cell>
          <cell r="E126" t="str">
            <v>MATERIALS SCIENCE, MULTIDISCIPLINARY|PHYSICS, MULTIDISCIPLINARY</v>
          </cell>
          <cell r="F126" t="str">
            <v>High-order nonlinear Schrodinger equation,Weak non-local nonlinearity,Modified Kudryashov method,Optical solitons</v>
          </cell>
          <cell r="H126" t="str">
            <v>Q2</v>
          </cell>
        </row>
        <row r="127">
          <cell r="B127" t="str">
            <v>10.1016/j.rinp.2021.104046</v>
          </cell>
          <cell r="C127" t="str">
            <v>"This manuscript addressing the dynamics of fractal-fractional type modified SEIR model under Atangana-Baleanu Caputo (ABC) derivative of fractional order y and fractal dimension p for the available data in Pakistan. The proposed model has been investigated for qualitative analysis by applying the theory of non-linear functional analysis along with fixed point theory. The fractional Adamsâ€“bashforth iterative techniques have been applied for the numerical solution of the said model. The Ulam-Hyers (UH) stability techniques have been derived for the stability of the considered model. The simulation of all compartments has been drawn against the available data of covid-19 in Pakistan. The whole study of this manuscript illustrates that control of the effective transmission rate is necessary for stoping the transmission of the outbreak. This means that everyone in the society must change their behavior towards self-protection by keeping most of the precautionary measures sufficient for controlling covid-19."</v>
          </cell>
          <cell r="E127" t="str">
            <v>MATERIALS SCIENCE, MULTIDISCIPLINARY|PHYSICS, MULTIDISCIPLINARY</v>
          </cell>
          <cell r="F127" t="str">
            <v>COVID-19,Existence result,Fractal-fractional ABC operator,Numerical results</v>
          </cell>
          <cell r="H127" t="str">
            <v>Q2</v>
          </cell>
        </row>
        <row r="128">
          <cell r="B128" t="str">
            <v>10.1016/j.rinp.2021.104359</v>
          </cell>
          <cell r="C128" t="str">
            <v>"In this study, a significant model of mathematical physics used to describe real-world problems, namely the Nizhnikâ€“Novikovâ€“Veselov (NNV) system is studied and various versions of wave solutions are simultaneously explored. The NNV system is considered an essential model to the KdV hierarchy and is widely used to study the scalar nucleons associated with neutral scalar masons. Thus, the exact wave solutions are important to the associated researchers. To this aim, a robust approach named the generalized exponential rational function method (GERFM) is used to achieve this goal. With the aid of GERFM abundant new wave solutions are formally constructed. All generated solutions are constructed with distinct forms that are dependent on free parameters and determined by the self-form of the NNV system. Moreover, the free parameters play the main roles in the dispersive terms and the values of free parameters influence the physical properties of the traveling solitary and periodic waves to the NNV system directly. Finally, some 3D graphs of the generated solutions are provided to show the propagations of traveling waves. The performed results will have great potential applications to optical fibers, magneto-electrodynamics, the collision of heavy ions, and quantum mechanics."</v>
          </cell>
          <cell r="E128" t="str">
            <v>MATERIALS SCIENCE, MULTIDISCIPLINARY|PHYSICS, MULTIDISCIPLINARY</v>
          </cell>
          <cell r="F128" t="str">
            <v>Nizhnik-Novikov-Veselov,KdV hierarchy,Exponential rational function method,Solitary</v>
          </cell>
          <cell r="H128" t="str">
            <v>Q2</v>
          </cell>
        </row>
        <row r="129">
          <cell r="B129" t="str">
            <v>10.1016/j.rinp.2021.104494</v>
          </cell>
          <cell r="C129" t="str">
            <v>"In this paper, a direct approach, namely the generalized exponential rational function method is utilized to extract diverse collection of exact solutions to the (2+1)-dimensional Hirota equation. The equation is a widely used tools to describe the interactions of traveling waves in plasma physics. The new method provides more systematical and convenient handling of the process of nonlinear wave equations with the aid of computational software (Mathematica). Moreover, all of the obtained solutions are constructed with distinct structures, including sineâ€“cos, tanhâ€“coth, sinhâ€“cosh and exponential in rational functions. Some of them are presented in contour plots to show the behavior of traveling wave solutions. It is clear to see that the proposed methodology is very simple, straightforward, and yet very powerful, and able to introduce very diverse categories of solutions in a single framework. The derived results confirm that the generalized exponential rational function method can solve other complex equations in nonlinear fields."</v>
          </cell>
          <cell r="E129" t="str">
            <v>MATERIALS SCIENCE, MULTIDISCIPLINARY|PHYSICS, MULTIDISCIPLINARY</v>
          </cell>
          <cell r="F129" t="str">
            <v>Exact solutions for PDEs,The generalized exponential rational function method Computational software,The Hirota equation</v>
          </cell>
          <cell r="H129" t="str">
            <v>Q2</v>
          </cell>
        </row>
        <row r="130">
          <cell r="B130" t="str">
            <v>10.1016/j.rinp.2021.104515</v>
          </cell>
          <cell r="C130" t="str">
            <v>"In this paper, we investigate a diverse collection of exact solutions to a version of nonlinear SchrÃ¶dinger equation with Kerr law nonlinearity. These results are obtained for the equation using the generalized exponential rational function method. The graphical interpretation of the solutions is also included to demonstrate the dynamic characteristics of the achieved results. It is found that the proposed methodology is not only very simple, straightforward but also efficient and powerful. This technique discovers very diverse categories of solutions in a single framework. This feature is one of the main advantages of this method. By taking the appropriate values of existing parameters in solutions, several numerical simulations have been presented. Moreover, it can also be adopted on solving other nonlinear models in mathematical physics. The use of the paperâ€™s method is also suggested in solving other partial equations. All symbolic calculations in this article are performed using Mathematica software."</v>
          </cell>
          <cell r="E130" t="str">
            <v>MATERIALS SCIENCE, MULTIDISCIPLINARY|PHYSICS, MULTIDISCIPLINARY</v>
          </cell>
          <cell r="F130" t="str">
            <v>The generalized exponential rational function method,Traveling wave solutions,Schrodinger equation,Analytical methods,Kerr law nonlinearity</v>
          </cell>
          <cell r="H130" t="str">
            <v>Q2</v>
          </cell>
        </row>
        <row r="131">
          <cell r="B131" t="str">
            <v>10.1016/j.rinp.2021.104733</v>
          </cell>
          <cell r="C131" t="str">
            <v>"In the present study, we investigate solitary wave solutions to the Drinfeldâ€“Sokolov system. This system describes the dispersive water waves in fluid mechanics and is known as an anisotropic integrable system along with a Lax extension of the famous Kortewegâ€“De Vries equation. The pivotal aim of this study is to make much more contributions to the fluid mechanics by extracting various versions of traveling waves which are helpful to further understand the mechanism of propagation of the dispersive waves. The presented method used for achieving our main goal is the generalized exponential rational function method. Several different categories of solutions are all determined using a single structure in the utilized technique. After comparing with the existing methods, such as the Exp-function method, the generated exact wave solutions show the efficiency of the utilized method. For the sake of discovering more facts about the numerical nature of obtained wave solutions, several 2D diagrams have been shown. Further, the acquired results of this paper also pave the way for the use of the technique in solving other nonlinear models."</v>
          </cell>
          <cell r="E131" t="str">
            <v>MATERIALS SCIENCE, MULTIDISCIPLINARY|PHYSICS, MULTIDISCIPLINARY</v>
          </cell>
          <cell r="F131" t="str">
            <v>Exact optical solutions,Traveling wave solutions,Drinfeld-Sokolov system,The generalized exponential rational function method</v>
          </cell>
          <cell r="H131" t="str">
            <v>Q2</v>
          </cell>
        </row>
        <row r="132">
          <cell r="B132" t="str">
            <v>10.1016/j.rinp.2021.104882</v>
          </cell>
          <cell r="C132" t="str">
            <v>"In this study, an integrable dispersive modified Camassaâ€“Holm equation is considered with the essence of fractional beta derivative. The aforesaid equation is a shallow water equation and a bi-Hamiltonian having an associated isospectral problem of second order. Three diverse techniques namely the extended Jacobiâ€™s elliptic function expansion, the new version of Kudryashov and the Expafunction methods are enforced. A variety of complex solitary wave solutions including, Jacobiâ€™s elliptic function solutions, bright and dark solitons and many other analytical solutions are developed. The obtained results are explicated graphically depending upon the physical and fractional parameters. These results may also be used to illuminate the significance of applied methods to many other related non-linear physical phenomena."</v>
          </cell>
          <cell r="E132" t="str">
            <v>MATERIALS SCIENCE, MULTIDISCIPLINARY|PHYSICS, MULTIDISCIPLINARY</v>
          </cell>
          <cell r="F132" t="str">
            <v>Modified Camassa-Holm equation,Beta-derivative,Three diverse techniques,Solitary wave solutions</v>
          </cell>
          <cell r="H132" t="str">
            <v>Q2</v>
          </cell>
        </row>
        <row r="133">
          <cell r="B133" t="str">
            <v>10.1016/j.rinp.2021.105103</v>
          </cell>
          <cell r="C133" t="str">
            <v>"This research study consists of a newly proposed Atanganaâ€“Baleanu derivative for transmission dynamics of the coronavirus (COVID-19) epidemic. Taking the advantage of non-local Atanganaâ€“Baleanu fractional-derivative approach, the dynamics of the well-known COVID-19 have been examined and analyzed with the induction of various infection phases and multiple routes of transmissions. For this purpose, an attempt is made to present a novel approach that initially formulates the proposed model using classical integer-order differential equations, followed by application of the fractal fractional derivative for obtaining the fractional COVID-19 model having arbitrary order Î¨ and the fractal dimension Îž. With this motive, some basic properties of the model that include equilibria and reproduction number are presented as well. Then, the stability of the equilibrium points is examined. Furthermore, a novel numerical method is introduced based on Adamsâ€“Bashforth fractal-fractional approach for the derivation of an iterative scheme of the fractal-fractional ABC model. This in turns, has helped us to obtained detailed graphical representation for several values of fractional and fractal orders Î¨ and Îž, respectively. In the end, graphical results and numerical simulation are presented for comprehending the impacts of the different model parameters and fractional order on the disease dynamics and the control. The outcomes of this research would provide strong theoretical insights for understanding mechanism of the infectious diseases and help the worldwide practitioners in adopting controlling strategies."</v>
          </cell>
          <cell r="E133" t="str">
            <v>MATERIALS SCIENCE, MULTIDISCIPLINARY|PHYSICS, MULTIDISCIPLINARY</v>
          </cell>
          <cell r="F133" t="str">
            <v>COVID-19 transmission,Fractal fractional order model,Deterministic stability analysis,Case study,Adams-Bashforth method,Newton polynomial</v>
          </cell>
          <cell r="H133" t="str">
            <v>Q2</v>
          </cell>
        </row>
        <row r="134">
          <cell r="B134" t="str">
            <v>10.1016/j.rinp.2022.105245</v>
          </cell>
          <cell r="C134" t="str">
            <v>"Numerical modelling of real-world problems has a significant role in different disciplines like biology, physics, chemistry, economics, and many more. The numerical results are the authentication of the results of the dynamical analysis. We studied the heroin epidemic model's dynamics based on the law of mass action. The essential features of the model like positivity, boundedness, equilibria, and reproduction number are presented. Some standard and nonstandard computational methods like Euler, Runge-Kutta, and Nonstandard finite difference (NSFD) are given for the said model. The nonstandard finite difference method was developed to restore the fundamental properties of biological problems. Also, the proposed numerical model is consistent with the behaviour of the continuous model. To that end, simulations for the comparison of computational methods are presented."</v>
          </cell>
          <cell r="E134" t="str">
            <v>MATERIALS SCIENCE, MULTIDISCIPLINARY|PHYSICS, MULTIDISCIPLINARY</v>
          </cell>
          <cell r="F134" t="str">
            <v>Deterministic model,Nonlinear differential equations,Computational methods,Stability analysis,Simulations</v>
          </cell>
          <cell r="H134" t="str">
            <v>Q2</v>
          </cell>
        </row>
        <row r="135">
          <cell r="B135" t="str">
            <v>10.1016/j.rinp.2022.105589</v>
          </cell>
          <cell r="C135" t="str">
            <v>"In the present article, we have utilized two efficient techniques to obtain new optical solitons for the nonlinear SchrÃ¶dingerâ€™s equation. The advantages of the employed methods are that they are straightforward to use and able extraction of different types of solutions in single frameworks. The solutions presented in this paper evoke new applications and concepts for the considered special form of SchrÃ¶dingerâ€™s equation. Numerical simulations of some of the acquired solutions are also presented in the paper. After applying some necessary changes in these techniques, they can be implemented in solving other applied complex models arising in mathematics, physics, and applied mathematics."</v>
          </cell>
          <cell r="E135" t="str">
            <v>MATERIALS SCIENCE, MULTIDISCIPLINARY|PHYSICS, MULTIDISCIPLINARY</v>
          </cell>
          <cell r="F135" t="str">
            <v>Closed-form solution,Symbolic calculations,Nonlinear Schr?dinger?s equation</v>
          </cell>
          <cell r="H135" t="str">
            <v>Q2</v>
          </cell>
        </row>
        <row r="136">
          <cell r="B136" t="str">
            <v>10.1016/j.rinp.2022.105683</v>
          </cell>
          <cell r="C136" t="str">
            <v>"Humans have observed complex behaviors presented by nature. They have observed behaviors resembling power-law, to model these problems; they have used fractional differential operators with a power-law kernel. They have observed behaviors resembling a declining process, to model these problems; they used fractional differential operators based on exponential decay kernel. They have observed crossover behaviors from fading process to power-law, to model these problems; they used fractional derivatives based on the generalized Mittag-Leffler function. However, they have also observed a passage from randomness to power-law or vice-versa, or even from deterministic to randomness, these behaviors could not be depicted using above mentioned operators. To overcome these problems, the concepts of piece-wise differential and integral calculus have been introduced. In this paper, we adopt such a concept to model the dynamical interaction of predatorâ€“prey, several scenarios are considered and simulations are provided for each case. According to the results, it seems that the idea of using piece-wise operators seems provides a better understanding of the behavior of dynamic systems."</v>
          </cell>
          <cell r="E136" t="str">
            <v>MATERIALS SCIENCE, MULTIDISCIPLINARY|PHYSICS, MULTIDISCIPLINARY</v>
          </cell>
          <cell r="F136" t="str">
            <v>Practicalmodeling,Predator-preymodel,Piece-wiseoperators,Stochasticprocesses,Timediscretization</v>
          </cell>
          <cell r="H136" t="str">
            <v>Q2</v>
          </cell>
        </row>
        <row r="137">
          <cell r="B137" t="str">
            <v>10.1016/j.rinp.2022.105918</v>
          </cell>
          <cell r="C137" t="str">
            <v>"Due to their complex nature, solving nonlinear ordinary and partial differential equations always faces many problems and difficulties. Hence, only a few methods are available for researchers to solve such important categories of equations. On the other hand, the use of some of these other techniques can only be exploited in solving specific systems. The main objective of the present research is to apply an efficient approach in a coupled nonlinear SchrÃ¶dingerâ€™s equation. In this method the preselected structure for the solutions is in terms of fractions of exponential functions. As a result, several analytical solutions related to the considered model are extracted via the generalized exponential rational function method. To better describe the achievements of this article, several numerical simulations have been presented. All computations are performed using the Wolfram Mathematica."</v>
          </cell>
          <cell r="E137" t="str">
            <v>MATERIALS SCIENCE, MULTIDISCIPLINARY|PHYSICS, MULTIDISCIPLINARY</v>
          </cell>
          <cell r="F137" t="str">
            <v>Soliton solutions,Third-order systems,Optical fibers,mGERFM</v>
          </cell>
          <cell r="H137" t="str">
            <v>Q2</v>
          </cell>
        </row>
        <row r="138">
          <cell r="B138" t="str">
            <v>10.1016/j.rinp.2022.105919</v>
          </cell>
          <cell r="C138" t="str">
            <v>"Recently, the development of novel methods for finding solutions to partial differential equations has made great progress in various fields of science. These equations are an important tool in describing many phenomena that occur around us. The research work aims to study a third-order nonlinear SchrÃ¶dingerâ€™s equation using the modified generalized exponential rational function method, and the extended sinh-Gordon equation expansion method. The common idea between the two methods is that it is first necessary to reduce the equation with partial derivatives to a form of the equation with ordinary derivatives using a new wave definition. Moreover, the retrieved solutions are obtained in a closed form of elementary functions which are important in practical applications. We successfully construct some soliton, singular soliton and singular periodic wave solutions to the nonlinear complex model. Further, numerical simulations are also included via several figures. A significant advantage of both techniques is the ability to introduce a wide range of types of analytical solutions in terms of well-known elementary functions. It is obtained that these methods are also applicable in solving other equations in nonlinear science."</v>
          </cell>
          <cell r="E138" t="str">
            <v>MATERIALS SCIENCE, MULTIDISCIPLINARY|PHYSICS, MULTIDISCIPLINARY</v>
          </cell>
          <cell r="F138" t="str">
            <v>Partial differential equations,Schr?dinger?s equation,Analytical methods,Nonlinear optics</v>
          </cell>
          <cell r="H138" t="str">
            <v>Q2</v>
          </cell>
        </row>
        <row r="139">
          <cell r="B139" t="str">
            <v>10.1016/j.rinp.2022.106026</v>
          </cell>
          <cell r="C139" t="str">
            <v>"In recent years, different analytical methods have been employed for solving differential equations, including ordinary and partial derivatives. This paper aims to utilize the modified generalized exponential rational function method to extract different categories of analytical solutions to the generalized SchrÃ¶dingerâ€™s equation. The equation is one of the most effective tools in plasma physics to describe the interaction of traveling waves. In this paper, we derive some analytical solutions with singular wave solitons with exponentially increasing and decreasing amplitudes, with gradually increasing and decreasing amplitudes, and with constant amplitudes. In order to examine the dynamic behavior of the obtained solutions, some diagrams have been added to the article. It can be easily deduced that the employed technique provides a relatively simple and efficient way of determining analytical solutions. It should be noted that to the best of the authorâ€™s knowledge these techniques have not been utilized for solving in recent literature. Further, it can be easily adapted to handle other important nonlinear partial differential equations. All calculations can be carried out with the aid of computational software like Mathematica."</v>
          </cell>
          <cell r="E139" t="str">
            <v>MATERIALS SCIENCE, MULTIDISCIPLINARY|PHYSICS, MULTIDISCIPLINARY</v>
          </cell>
          <cell r="F139" t="str">
            <v>Schr?dinger?s equation,The generalized exponential rational function,method,Numerical simulations,Wave solutions</v>
          </cell>
          <cell r="H139" t="str">
            <v>Q2</v>
          </cell>
        </row>
        <row r="140">
          <cell r="B140" t="str">
            <v>10.1016/j.rinp.2023.106385</v>
          </cell>
          <cell r="C140" t="str">
            <v>"Analytical solutions are the most effective tools for understanding phenomena modeled with differential equations. On the other hand, analytical solvers may be limited in their ability to handle complex problems and we are forced to rely on approximate and numerical methods. Through the investigation of two types of fractional operators, this article aims to investigate both approaches to studying the interactive dynamics of an eco-epidemiological diffusion model. We consider two differential operators in our main model: local beta time and non-local Riesz space fractional derivative. Firstly, we propose novel classes of soliton wave solutions for the local time fractional version of the system using two efficient analytical methods. In the second part of the paper, we consider the case where the second-order space derivative operator in the problem is of the type of Riesz fractional operator that is non-local. A finite difference scheme is the main idea behind discretizing this fractional system. Throughout this article, we highlight the validity and efficiency of both analytical and numerical perspectives. The results can be examined by epidemiologists for a more comprehensive interpretation."</v>
          </cell>
          <cell r="E140" t="str">
            <v>MATERIALS SCIENCE, MULTIDISCIPLINARY|PHYSICS, MULTIDISCIPLINARY</v>
          </cell>
          <cell r="F140" t="str">
            <v>Eco-epidemiological model,Numerical techniques,Fractional operators,Traveling wave solution,Finite difference discretization</v>
          </cell>
          <cell r="H140" t="str">
            <v>Q2</v>
          </cell>
        </row>
        <row r="141">
          <cell r="B141" t="str">
            <v>10.1016/j.rinp.2023.106792</v>
          </cell>
          <cell r="C141" t="str">
            <v>"This paper presents a comprehensive investigation of the generalized SchrÃ¶dingerâ€™s equation through the utilization of an efficient analytical method, enabling the derivation of a wide range of exact solutions. The novelty of this research lies in the development of a novel approach that combines simplicity and power to produce diverse categories of solutions within a unified framework. By employing this innovative methodology, the study contributes new insights into the properties of the model, expanding upon the existing literature. Additionally, the effectiveness of the proposed method is demonstrated through the presentation of graphical representations that enhance the understanding of the dynamic characteristics of the obtained results. Furthermore, the significance of this research extends beyond its theoretical contributions. The findings of this study have practical implications in various fields, including fluid mechanics, nonlinear optics, and plasma physics. The ability to determine soliton solutions for other partial equations using this methodology opens up opportunities for further advancements in these domains. Moreover, the presented results provide valuable insights into the behavior and properties of systems governed by generalized SchrÃ¶dingerâ€™s equation, offering potential applications in diverse areas of science and engineering."</v>
          </cell>
          <cell r="E141" t="str">
            <v>MATERIALS SCIENCE, MULTIDISCIPLINARY|PHYSICS, MULTIDISCIPLINARY</v>
          </cell>
          <cell r="F141" t="str">
            <v>Analytical solutions,Nonlinear system,Optical fiber communication systems,Symbolic forms</v>
          </cell>
          <cell r="H141" t="str">
            <v>Q2</v>
          </cell>
        </row>
        <row r="142">
          <cell r="B142" t="str">
            <v>10.1016/j.rinp.2023.107183</v>
          </cell>
          <cell r="C142" t="str">
            <v>"Optical solitons are special waves that maintain their shape while traveling. Hence, solitary optical waves have great significance when it comes to representing pulse propagation through nonlinear partial differential equations. In our research, we have uncovered unique solutions for the formation of solitary wave patterns in the equation of the Heisenberg ferromagnetic spin chain (HFSC). This equation aptly describes the behavior of electromagnetic waves in contemporary magnetism. By employing innovative techniques based on logarithmic transformations and analytical methods, we have obtained various solution forms expressed in a concise manner using elementary functions. We have tested the correctness of these solutions by substituting them directly into the main equation. These recent discoveries provide novel perspectives on the complex realm of solitons as depicted by this model. Moreover, since the model finds applications in fiber optic communications, fluid dynamics, and other fields, the implications of these discoveries are broad. The utilized methods stand out for being simple, reliable, and capable of creating fresh solutions for nonlinear partial differential equations in the realm of mathematical physics. The research findings presented here showcase the effectiveness of the applied methods in reliably studying nonlinear phenomena in the HFSC equation and other nonlinear problems in mathematical physics. By utilizing these tools, scholars have the opportunity to expand and enhance their understanding of the complex mathematical frameworks underlying real-world problems."</v>
          </cell>
          <cell r="E142" t="str">
            <v>MATERIALS SCIENCE, MULTIDISCIPLINARY|PHYSICS, MULTIDISCIPLINARY</v>
          </cell>
          <cell r="F142" t="str">
            <v>Logarithmic transformation,Wave solitons,Mathematical modeling,Symbolic computations,Heisenberg ferromagnetic spin chain equation,Optic communications</v>
          </cell>
          <cell r="H142" t="str">
            <v>Q2</v>
          </cell>
        </row>
        <row r="143">
          <cell r="B143" t="str">
            <v>10.1016/j.rinp.2023.107298</v>
          </cell>
          <cell r="C143" t="str">
            <v>"In the past few years, there has been a growing interest in investigating the search for solitary wave solutions in the realm of nonlinear partial differential equations. This endeavor represents a captivating and challenging area of research. The primary objective of this study is to investigate the nonlinear Zakharov system through a comprehensive analysis that integrates logarithmic transformations and the symbolic structures of exponential functions. The nonlinear Zakharov system holds remarkable importance as a fundamental cornerstone in the field of plasma physics, derived from the profound intellect of esteemed mathematicians and physicists. By examining a diverse range of solution forms including trigonometric, hyperbolic, and rational expressions, this research delves into the complexities of plasma behavior. Notably, the introduction of arbitrarily selected constants imbues these solutions with a multifaceted and dynamic nature. In support of the findings, the article presents several numerical simulations that align with the derived solutions. The utilized methods stand out for being simple, reliable, and capableof creating fresh solutions for nonlinear partial differential equations in the realm of mathematical physics. Other significance of this research lies in its introduction of innovative methodologies previously unexplored in the study of this particular model, thereby broadening the scientific toolkit. Moreover, the versatility of these techniques offers the potential for seamless adaptation in addressing various other nonlinear partial differential equations."</v>
          </cell>
          <cell r="E143" t="str">
            <v>MATERIALS SCIENCE, MULTIDISCIPLINARY|PHYSICS, MULTIDISCIPLINARY</v>
          </cell>
          <cell r="F143" t="str">
            <v>Solitary wave nonlinear Zakharov system,Logarithmic transformation-based methods,Universal nonlinear equation,Wide-ranging applications</v>
          </cell>
          <cell r="H143" t="str">
            <v>Q2</v>
          </cell>
        </row>
        <row r="144">
          <cell r="B144" t="str">
            <v>10.1016/j.tjog.2021.08.002</v>
          </cell>
          <cell r="C144" t="str">
            <v>"Objective: Our aim in this study is to evaluate the efficacy of HbA1c in screening for GDM during the first trimester of pregnancy. Materials and methods: In this retrospective cohort study, we evaluated the first trimester HbA1c (ft-HbA1c) levels of 195 pregnant women who attended our university hospital's obstetrics clinic. Blood samples were drawn from patients during 11â€“14 weeks of gestation. After that, all patients were screened using standardized one-step 75gr OGTT between 24 and 28 weeks of pregnancy. Results: In this study, 195 pregnant women were included. Thirty-two (16.4%) of the women included in this study were diagnosed with GDM. The mean ft-HbA1c level was 5.52% in those who developed GDM and 5.21% in those who did not develop GDM (pÂ =Â 0.000). Only seven (3.6%) of the women included in this study had an ft-HbA1c level above the prediabetes limit of 5.7%. All these women with prediabetes developed GDM. The cut-off value for ft-HbA1c to distinguish GDM was 5,33%. For this cut-off value, the sensitivity was 71.9%, and the specificity was 82.8%. Conclusion: The findings suggest that ft-HbA1c level is a promising biomarker for GDM screening. Especially, patients with ft-HbA1c level â‰¥5.33% are at increased risk for developing GDM."</v>
          </cell>
          <cell r="E144" t="str">
            <v>OBSTETRICS &amp; GYNECOLOGY</v>
          </cell>
          <cell r="F144" t="str">
            <v>Diabetes,Gestational diabetes,Glucose tolerance test,Glycated hemoglobin A,Pregnancy</v>
          </cell>
          <cell r="H144" t="str">
            <v>Q2</v>
          </cell>
        </row>
        <row r="145">
          <cell r="B145" t="str">
            <v>10.1017/S1446181122000025</v>
          </cell>
          <cell r="C145" t="str">
            <v>"AbstractWe study a fractional-order delayed predator-prey model with Hollingâ€“Tanner-type functional response. Mainly, by choosing the delay time \n$\\tau $\n as the bifurcation parameter, we show that Hopf bifurcation can occur as the delay time \n$\\tau $\n passes some critical values. The local stability of a positive equilibrium and the existence of the Hopf bifurcations are established, and numerical simulations for justifying the theoretical analysis are also presented."</v>
          </cell>
          <cell r="E145" t="str">
            <v>MATHEMATICS, APPLIED</v>
          </cell>
          <cell r="F145" t="str">
            <v>fractional-order,time-delay,Hopf bifurcation,predator-prey system</v>
          </cell>
          <cell r="H145" t="str">
            <v>Q3</v>
          </cell>
        </row>
        <row r="146">
          <cell r="B146" t="str">
            <v>10.1029/2022RS007611</v>
          </cell>
          <cell r="C146" t="str">
            <v>"AbstractA lowâ€profile multiâ€frequency leaky wave button antenna for bodyâ€centric communications is presented. A leaky wave antenna loaded with Uâ€slots (a combination of Uâ€slots and slits) and tapered slot structures to improve the radiation efficiency, broadside radiation pattern, and widen the steering range is designed. Furthermore, it comprises a whole ground to meet the Specific Absorption Rate standard requirements based on the known standards. The antenna's performances are examined for on and offâ€body conditions. For demonstration, a prototype is implemented, and the measurement is performed on the chest. The antenna operates at multi bands of 1.7â€“3.3Â GHz (Industrial, Scientific, and Medical and 5G communication) and 4.15â€“10Â GHz (subâ€6Â GHz and Xâ€band communications). The peak gains of 6.9 and 8.2Â dBi were obtained for on and offâ€ body conditions, respectively. Furthermore, the antenna offers maximum radiation efficiencies of 89.3% and 99.3% for onâ€body and freeâ€space conditions. The specific absorption rate (SAR) values obtained for bodyâ€centric communications meet the regulation requirements (e.g., on body tissue at 3.2Â GHz, it is 0.78 (1Â g) and 0.44 (10Â g)Â W/kg). With an overall miniaturized size, the proposed button antenna could be integrated with clothes. In addition, a multiâ€wide bandwidth, circularly polarized radiation, a small size, high efficiency and gain, and low SAR values prove that the proposed antenna can be a potential candidate for wireless body area network and simultaneous wireless information and power transfer applications."</v>
          </cell>
          <cell r="E146" t="str">
            <v>ASTRONOMY &amp; ASTROPHYSICS|GEOCHEMISTRY &amp; GEOPHYSICS|METEOROLOGY &amp; ATMOSPHERIC SCIENCES|REMOTE SENSING|TELECOMMUNICATIONS</v>
          </cell>
          <cell r="H146" t="str">
            <v>Q3</v>
          </cell>
        </row>
        <row r="147">
          <cell r="B147" t="str">
            <v>10.1038/s41366-022-01177-1</v>
          </cell>
          <cell r="C147" t="str">
            <v>"This study aimed to discover the effects of coconut oil intake and diet therapy on anthropometric measurements, biochemical findings and irisin levels in overweight individuals. Overweight individuals (nâ€‰=â€‰44, 19â€“30 years) without any chronic disease were included. In this randomized controlled crossover study, the participants were divided into two groups (Group 1: 23 people, Group 2: 21 people). In the first phase, Group 1 received diet therapy to lose 0.5â€“1â€‰kg of weight per week and 20â€‰mL of coconut oil/day, while Group 2 only received diet therapy. In the second phase, Group 1 received diet therapy while Group 2 received diet therapy and 20â€‰mL of coconut oil/day. Anthropometric measurements were taken four times. Irisin was measured four times by enzyme-linked immunosorbent (ELISA) method and other biochemical findings were measured twice. Statistical analysis was made on SPSS 20. The irisin level decreased significantly when the participants only took coconut oil (pâ€‰â‰¤â€‰0.05). There was a significant decrease in the participantsâ€™ body weight, body mass index (BMI) level and body fat percentage (pâ€‰â‰¤â€‰0.01). Insulin, total cholesterol, low density lipoproteins (LDL) cholesterol, and triglyceride (TG) levels of all participants decreased significantly (pâ€‰â‰¤â€‰0.05). There was no significant difference in irisin level due to body weight loss (pâ€‰â‰¤â€‰0.05); coconut oil provided a significant decrease in irisin level (pâ€‰â‰¤â€‰0.05). Diet therapy and weight loss did not have an effect on irisin level, but coconut oil alone was found to reduce irisin level. Coconut oil had no impact on anthropometric and biochemical findings."</v>
          </cell>
          <cell r="E147" t="str">
            <v>ENDOCRINOLOGY &amp; METABOLISM|NUTRITION &amp; DIETETICS</v>
          </cell>
          <cell r="H147" t="str">
            <v>Q2</v>
          </cell>
        </row>
        <row r="148">
          <cell r="B148" t="str">
            <v>10.1038/s41598-022-19893-z</v>
          </cell>
          <cell r="C148" t="str">
            <v>"AbstractSegmentation of noisy images having light in the background it is a challenging task for the existing segmentation approaches and methods. In this paper, we suggest a novel variational method for joint restoration and segmentation of noisy images which are having intensity and inhomogeneity in the existence of high contrast light in the background. The proposed model combines statistical local region information of circular regions centered at each pixel with a multi-phase segmentation technique enabling inhomogeneous image restoration. The proposed model is written in the fuzzy set framework and resolved through alternating direction minimization approach of multipliers. Through experiments, we have tested the performance of the suggested approach on diverse types of synthetic and real images in the existence of intensity and in-homogeneity; and evaluate the precision, as well as, the robustness of the suggested model. Furthermore, the outcomes are, then, compared with other state-of-the-art models including two-phase and multi-phase approaches and show that our method has superiority for images in the existence of noise and inhomogeneity. Our empirical evaluation and experiments, using real images, evaluate and assess the efficiency of the suggested model against several other closest rivals. We observed that the suggested model can precisely segment all the images having brightness, diffuse edges, high contrast light in the background, and inhomogeneity."</v>
          </cell>
          <cell r="E148" t="str">
            <v>MULTIDISCIPLINARY SCIENCES</v>
          </cell>
          <cell r="H148" t="str">
            <v>Q2</v>
          </cell>
        </row>
        <row r="149">
          <cell r="B149" t="str">
            <v>10.1038/s41598-022-26763-1</v>
          </cell>
          <cell r="C149" t="str">
            <v>"AbstractThe complex structure of the human body makes its center of mass (CoM) estimation very challenging. The typically used estimation methods usually suffer from large estimation errors when applied to bodies with structural differences. Thus, a reliable estimation method is of utmost importance. In this paper, we present a detailed evaluation of a subject-specific CoM estimation technique named Statically Equivalent Serial Chain (SESC) by investigating its estimation ability over two different groups of subjects (Fit and Obese) in comparison to the segmental analysis method. For this study, we used an IMU-based motion capture system and a force platform to record the joint angles and corresponding center of pressure (CoP) values of twenty-five participants while performing a series of static postures. The root-mean-square errors (RMSE) of SESCâ€™s estimation for both groups showed close and lower mean values, whereas the segmental analysis method showed significantly larger RMSE values in comparison to SESC (p &lt; 0.05). In addition, we used the Blandâ€“Altman analysis to evaluate the agreement between the two techniques and the ground truth CoP, which showed the accuracy, precision, and reliability of SESC over both groups. In contrast, the segmental analysis method did not present neither accurate nor precise estimations, as our analysis revealed considerable fixed and proportional biases."</v>
          </cell>
          <cell r="E149" t="str">
            <v>MULTIDISCIPLINARY SCIENCES</v>
          </cell>
          <cell r="H149" t="str">
            <v>Q2</v>
          </cell>
        </row>
        <row r="150">
          <cell r="B150" t="str">
            <v>10.1038/s41598-023-28595-z</v>
          </cell>
          <cell r="C150" t="str">
            <v>"AbstractIt is unclear whether metacognitive judgments are made on the basis of domain-generality or domain-specificity. In the current study, we compared both behavioral and event-related potential (ERP) correlates of retrospective (retrospective confidence judgments: RCJs), and prospective (feeling of knowing: FOK) metacognitive judgments during episodic and semantic memory tasks in 82 participants. Behavioral results indicated that FOK judgments reflect a domain-specific process, while RCJ reflect a domain-general process. RCJ and FOK judgments produced similar ERP waveforms within the memory tasks, but with different temporal dynamics; thus supporting the hypothesis that retrospective and prospective metacognitive judgments are distinct processes. Our ERP results also suggest that metacognitive judgments are linked to distributed neural substrates, rather than purely frontal lobe functioning. Furthermore, the role of intra-subject and inter-subject differences in metacognitive judgments across and within the memory tasks are highlighted."</v>
          </cell>
          <cell r="E150" t="str">
            <v>MULTIDISCIPLINARY SCIENCES</v>
          </cell>
          <cell r="H150" t="str">
            <v>Q2</v>
          </cell>
        </row>
        <row r="151">
          <cell r="B151" t="str">
            <v>10.1038/s41598-023-47337-9</v>
          </cell>
          <cell r="C151" t="str">
            <v>"AbstractEstimating the human center of mass (CoM) has long been recognized as a highly complex process. A relatively recent and noteworthy technique for CoM estimation that has gained popularity is the statically equivalent serial chain (SESC). This technique employs a remodeling of the human skeleton as a serial chain where the end effector represents the CoM location. In this study, we aimed to evaluate the impact of model complexity on the estimation capability of the SESC technique. To achieve this, we designed and rigorously assessed four distinct models with varying complexities against the static center of pressure (CoP) as reference, by quantifying both the root-mean-square (RMS) and correlation metrics. In addition, the Blandâ€“Altman analysis was utilized to quantify the agreement between the estimations and reference values. The findings revealed that increasing the model complexity significantly improved CoM estimation quality up to a specific threshold. The maximum observed RMS difference among the models reached 9.85 mm. However, the application and task context should be considered, as less complex models still provided satisfactory estimation performance. In conclusion, the evaluation of model complexity demonstrated its impact on CoM estimation using the SESC technique, providing insights into the trade-off between accuracy and complexity in practical applications."</v>
          </cell>
          <cell r="E151" t="str">
            <v>MULTIDISCIPLINARY SCIENCES</v>
          </cell>
          <cell r="H151" t="str">
            <v>Q2</v>
          </cell>
        </row>
        <row r="152">
          <cell r="B152" t="str">
            <v>10.1039/d0sm01950j</v>
          </cell>
          <cell r="C152" t="str">
            <v>"The numerical model can quantify the transmitting electrical conductivity within the composite in a larger range of particle geometry."</v>
          </cell>
          <cell r="E152" t="str">
            <v>CHEMISTRY, PHYSICAL|MATERIALS SCIENCE, MULTIDISCIPLINARY|PHYSICS, MULTIDISCIPLINARY|POLYMER SCIENCE</v>
          </cell>
          <cell r="H152" t="str">
            <v>Q2</v>
          </cell>
        </row>
        <row r="153">
          <cell r="B153" t="str">
            <v>10.1039/d1nj03038h</v>
          </cell>
          <cell r="C153" t="str">
            <v>"Although quercetin is an effective bioactive compound preventing the progress of several human cancers, its impact is reduced due to low bioavailability."</v>
          </cell>
          <cell r="E153" t="str">
            <v>CHEMISTRY, MULTIDISCIPLINARY</v>
          </cell>
          <cell r="H153" t="str">
            <v>Q2</v>
          </cell>
        </row>
        <row r="154">
          <cell r="B154" t="str">
            <v>10.1039/d1sm90089g</v>
          </cell>
          <cell r="C154" t="str">
            <v>"Correction for â€˜Elliptic percolation model for predicting the electrical conductivity of grapheneâ€“polymer compositesâ€™ by Asghar Aryanfar et al., Soft Matter, 2021, 17, 2081â€“2089, DOI: 10.1039/D0SM01950J."</v>
          </cell>
          <cell r="E154" t="str">
            <v>CHEMISTRY, PHYSICAL|MATERIALS SCIENCE, MULTIDISCIPLINARY|PHYSICS, MULTIDISCIPLINARY|POLYMER SCIENCE</v>
          </cell>
          <cell r="H154" t="str">
            <v>Q2</v>
          </cell>
        </row>
        <row r="155">
          <cell r="B155" t="str">
            <v>10.1039/d2sm00186a</v>
          </cell>
          <cell r="C155" t="str">
            <v>"In this study, the effect of liquid crystal templates on improving the mechanical and antibacterial properties of poly(N-[3-(dimethylaminopropyl)] methacrylamide) hydrogels was investigated."</v>
          </cell>
          <cell r="E155" t="str">
            <v>CHEMISTRY, PHYSICAL|MATERIALS SCIENCE, MULTIDISCIPLINARY|PHYSICS, MULTIDISCIPLINARY|POLYMER SCIENCE</v>
          </cell>
          <cell r="H155" t="str">
            <v>Q2</v>
          </cell>
        </row>
        <row r="156">
          <cell r="B156" t="str">
            <v>10.1042/BCJ20210481</v>
          </cell>
          <cell r="C156" t="str">
            <v>"OTU proteases antagonize the cellular defense in the host cells and involve in pathogenesis. Intriguingly, P. falciparum, P. vivax, and P. yoelii have an uncharacterized and highly conserved viral OTU-like proteins. However, their structure, function or inhibitors have not been previously reported. To this end, we have performed structural modeling, small molecule screening, deconjugation assays to characterize and develop first-in-class inhibitors of P. falciparum, P. vivax, and P. yoelii OTU-like proteins. These Plasmodium OTU-like proteins have highly conserved residues in the catalytic and inhibition pockets similar to viral OTU proteins. Plasmodium OTU proteins demonstrated Ubiquitin and ISG15 deconjugation activities as evident by intracellular ubiquitinated protein content analyzed by western blot and flow cytometry. We screened a library of small molecules to determine plasmodium OTU inhibitors with potent anti-malarial activity. Enrichment and correlation studies identified structurally similar molecules. We have identified two small molecules that inhibit P. falciparum, P. vivax, and P. yoelii OTU proteins (IC50 values as low as 30â€…nM) with potent anti-malarial activity (IC50 of 4.1â€“6.5â€…ÂµM). We also established enzyme kinetics, druglikeness, ADME, and QSAR model. MD simulations allowed us to resolve how inhibitors interacted with plasmodium OTU proteins. These findings suggest that targeting malarial OTU-like proteases is a plausible strategy to develop new anti-malarial therapies."</v>
          </cell>
          <cell r="E156" t="str">
            <v>BIOCHEMISTRY &amp; MOLECULAR BIOLOGY</v>
          </cell>
          <cell r="H156" t="str">
            <v>Q2</v>
          </cell>
        </row>
        <row r="157">
          <cell r="B157" t="str">
            <v>10.1051/ro/2021133</v>
          </cell>
          <cell r="C157" t="str">
            <v>"Multi-criteria decision-making (MCDM) is concerned with structuring and solving decision problems involving multiple criteria for decision-makers in vague and inadequate environment. The â€œTechnique for Order Preference by Similarity to Ideal Solutionâ€™â€™ (TOPSIS) is one of the mainly used tactic to deal with MCDM setbacks. In this article, we put forward an extension of TOPSIS with interval type-2 trapezoidal neutrosophic numbers (IT2TrNNs) using the concept of (Î±, Î², Î³)-cut. First, we present a novel approach to compute the distance between two IT2TrNNs using ordered weighted averaging (OWA) operator and (Î±, Î², Î³)-cut. Subsequently, we broaden the TOPSIS method in the context of IT2TrNNs and implemented it on a MCDM problem. Lastly, a constructive demonstration and several contrasts with the other prevailing techniques are employed to articulate the practicability of the proposed technique. The presented strategy yields a flexible solution for MCDM problems by considering the attitudes and perspectives of the decision-makers."</v>
          </cell>
          <cell r="E157" t="str">
            <v>OPERATIONS RESEARCH &amp; MANAGEMENT SCIENCE</v>
          </cell>
          <cell r="F157" t="str">
            <v>Multi-criteria decision making (MCDM),interval type-2 trapezoidal neutrosophic number (IT2TrNN),ordered weighted averaging (OWA) operator</v>
          </cell>
          <cell r="H157" t="str">
            <v>Q3</v>
          </cell>
        </row>
        <row r="158">
          <cell r="B158" t="str">
            <v>10.1051/sicotj/2023023</v>
          </cell>
          <cell r="C158" t="str">
            <v>"Introduction: The development of fracture gap during intramedullary nailing in tibial fractures is associated with poor fracture fragment contact and increased time to union and complications. This study aimed to evaluate the effect of the fracture level in the development of the fracture gap and the effect of the fracture gap on pain, radiologic and functional outcomes, and complication rate. Material and method: A total of 45 patients who underwent reamed intramedullary nailing due to closed transverse or short oblique tibial shaft fractures were divided into the proximal fracture group and the distal fracture group. The correlations between the visual analog scale (VAS) score, modified radiograph union score for tibias (RUST), and postoperative 1-year lower extremity functional scale scores, residual fracture gap, and time to union were evaluated. Results: The mean fracture gap amounts in the immediate postoperative anteroposterior and lateral radiographs were 5.6Â Â±Â 1.7 and 6.0Â Â±Â 1.7Â mm in proximal fractures and 0.3Â Â±Â 2.4Â mm and 0.4Â Â±Â 2.3Â mm in distal fractures, respectively (pÂ &lt;Â 0.001 and pÂ &lt;Â 0.001, respectively). The mean time to union was 21.9Â Â±Â 2.9 weeks in the proximal fracture group and 16.7Â Â±Â 2.4 weeks in the distal fracture group (pÂ &lt;Â 0.000). The residual fracture gap amount significantly correlated with the level of fracture (rÂ =Â 0.811, pÂ &lt;Â 0.001). Discussion: Tibial shaft fractures proximal to the isthmus level tend to develop significantly larger fracture gaps than distal fractures. It is associated with increased time to union and radiographic union scores as well as slightly higher complication and reoperation rates."</v>
          </cell>
          <cell r="E158" t="str">
            <v>ORTHOPEDICS</v>
          </cell>
          <cell r="F158" t="str">
            <v>Tibia shaft fractures,Fracture gap,Intramedullary nailing,Union,Fracture level</v>
          </cell>
          <cell r="H158" t="str">
            <v>Q2</v>
          </cell>
        </row>
        <row r="159">
          <cell r="B159" t="str">
            <v>10.1055/a-1400-2668</v>
          </cell>
          <cell r="C159" t="str">
            <v>"Abstract\nObjectives This study aimed to evaluate the current situation of\nhypoparathyroid patients and to investigate the relationship between\ntreatment adherence and quality of life.\nStudy design Prospective, multicentre study.\nMethods Adult patients presenting with the diagnosis of\nhypoparathyroidism to 20 different endocrinology clinics were included. They\nwere receiving conventional therapies for hypoparathyroidism, using calcium,\nactive vitamin D, and magnesium. We collected data on demographic features,\ndisease- and treatment-related information, and results of routine\nlaboratory tests, treatment adherence, and presence of complications. Beck\nDepression Inventory, Beck Anxiety Inventory, and Short Form-36 quality of\nlife assessments were administered.\nResults Among the 300 patients studied, 60.7% were adherent\nto their treatment, and 34.1% had complications. Anxiety and\ndepression scores were significantly higher in non-adherent versus\ntreatment-adherent patients (p&lt;0.001 and p=0.001,\nrespectively). Most of the domains of quality-of-life scores were also\nsignificantly lower in non-adherent patients. Both anxiety and depression\nscores showed significant, negative correlations with serum calcium and\nmagnesium concentrations (r=âˆ’0.336, p&lt;0.001\nand r=âˆ’0.258, p&lt;0.001, respectively).\nConclusions Nearly 40% of the patients were non-adherent to\nconventional treatment for hypoparathyroidism, and such patients had higher\nanxiety and depression scores and poorer quality of life scores.\nConventional treatment might not be sufficient to meet the needs of patients\nwith hypoparathyroidism. In addition to seeking new therapeutic options,\nfactors influencing quality of life should also be investigated and\nstrategies to improve treatment adherence should be developed."</v>
          </cell>
          <cell r="E159" t="str">
            <v>ENDOCRINOLOGY &amp; METABOLISM</v>
          </cell>
          <cell r="F159" t="str">
            <v>hypoparathyroidism,conventional treatment,treatment adherence,quality of life</v>
          </cell>
          <cell r="H159" t="str">
            <v>Q4</v>
          </cell>
        </row>
        <row r="160">
          <cell r="B160" t="str">
            <v>10.1055/a-1761-5962</v>
          </cell>
          <cell r="C160" t="str">
            <v>"Abstract\n          Objective An accurate and reliable measurement of proprioception is\n                    important in the evaluation of the cervical. The aim of this study is to\n                    investigate the validity and reliability of a new method using Horizontal Plane\n                    Target Platform (HPTP) to assess Head Repositioning Accuracy (HRA) for Cervical\n                    Proprioception (CP).\n          Methods HRA values of 86 healthy volunteers\n                    (21.01Â±2.16â€‰yrs.) were measured through AOS PropPoint laser\n                    apparatus device on HPTP, Frontal Plane Target Platform (FPTP), and also CROM\n                    device to assess test-retest reliability and validity.\n          Results The test-retest measurements of HPTP reliability was\n                        (ICCleft=0.69, ICCright=0.74;\n                        SEMleft=0.28, SEMright=0.36;\n                        MDCleft=1.85, MDCright=2.02\n                    95%CI) were moderate for both side. Correlation with the CROM device\n                    results was moderate for both side (r=0.75 for left size, r=0.83\n                    for right side), and the absolute values demonstrate concordance between results\n                    using the Bland-Altman method.\n          Conclusions HRA measurements performed with a laser apparatus on HPTP\n                    which we developed can be used as an alternative method in CP evaluation."</v>
          </cell>
          <cell r="E160" t="str">
            <v>REHABILITATION|SPORT SCIENCES</v>
          </cell>
          <cell r="F160" t="str">
            <v>Reliability,validity,cervical,proprioception,rehabilitation</v>
          </cell>
          <cell r="H160" t="str">
            <v>Q4</v>
          </cell>
        </row>
        <row r="161">
          <cell r="B161" t="str">
            <v>10.1055/s-0040-1708555</v>
          </cell>
          <cell r="C161" t="str">
            <v>"AbstractMucopolysaccharidosis type IIIB (Sanfilippo's B; OMIM no.: 252920) is a lysosomal storage disorder caused by defective degradation of heparan sulfate. The enzyme that has decreased function in this disease is Î±-N acetylglucosaminidase. This enzyme is encoded by the NAGLU gene. A 9-year-old male patient was referred to us with speech disability, developmental delay, hepatomegaly, mild learning disability, and otitis media with effusion complaints. Whole exome sequencing (WES) was performed because of consanguinity between the parents of the patient and the lack of specific prediagnosis. As a result of the patient's WES analysis, a homozygous mutation was detected in the NAGLU gene. The leukocyte enzyme activity was then evaluated to confirm the diagnosis. Alpha-N acetylglucosaminidase deficiency was found. Alpha-N acetylglucosaminidase activity was 0.2â€‰nmol/mLh. WES is a successful diagnostic method in the diagnosis of the mild clinical diseases with recessive inheritance. In addition, our case is a good example of genotype to phenotype diagnosis. Because in storage diseases, the diagnosis is made by leukocyte enzyme analysis first, and then the result is confirmed by gene analysis. The opposite situation occurred in our case."</v>
          </cell>
          <cell r="E161" t="str">
            <v>PEDIATRICS</v>
          </cell>
          <cell r="F161" t="str">
            <v>mucopolysaccharidosis III,Sanfilippo's syndrome B,consanguineous marriage,whole exome sequencing</v>
          </cell>
          <cell r="H161" t="str">
            <v>Q4</v>
          </cell>
        </row>
        <row r="162">
          <cell r="B162" t="str">
            <v>10.1055/s-0040-1716331</v>
          </cell>
          <cell r="C162" t="str">
            <v>"AbstractJohansonâ€“Blizzard syndrome (JBS) is a rare autosomal recessive genetic disorder, characterized by exocrine pancreatic insufficiency, a distinct abnormal facial appearance and varying degrees of growth retardation. Ubiquitin protein ligase E3 component n-recognin 1 (UBR1) gene mutations are responsible for the syndrome. Here, we describe a 2-month-old female infant, who presented with oily diarrhea, facial dysmorphia, scalp defect, hearing defects, and growth impairment. Molecular genetic testing revealed a novel frameshift mutation in UBR1, c.4027_4028 del (p.Leu1343Valfs*7), which was not previously described in JBS in the literature."</v>
          </cell>
          <cell r="E162" t="str">
            <v>PEDIATRICS</v>
          </cell>
          <cell r="F162" t="str">
            <v>aplasia cutis,facial dysmorphia,Johanson-Blizzard's syndrome,novel variants,pancreatic insufficiency,UBR1gene</v>
          </cell>
          <cell r="H162" t="str">
            <v>Q4</v>
          </cell>
        </row>
        <row r="163">
          <cell r="B163" t="str">
            <v>10.1055/s-0041-1731007</v>
          </cell>
          <cell r="C163" t="str">
            <v>"Abstract\n          Aimâ€ƒThe prevalence of congenital cerebral palsy (CP) worldwide ranges from 0.15 to 0.4%. CP causes several gastrointestinal complications that inhibit normal eating behavior. This single-center observational study aimed to determine the tolerability and benefits of percutaneous endoscopic gastrostomy (PEG) in pediatric CP patients with malnutrition.\n          Materials and Methodsâ€ƒThe study included 41 pediatric CP patients with malnutrition. All patient data were retrospectively obtained from BakÄ±rkÃ¶y Dr. Sadi Konuk Research and Training Hospital, Department of Pediatric Gastroenterology, Hepatology, and Nutrition, Istanbul, Turkey. In addition to baseline measurements of weight, height, triceps skinfold thickness, 1,25-hydroxyvitamin D3, folate, iron, zinc, vitamin B12, hemoglobin, and mean corpuscular volume, data analyzed included follow-up measurements recorded at 3 and 6 months of PEG (standard polymeric enteral supplementation as 1.0 kcal mLâ€“1).\n          Resultsâ€ƒThere was significant improvement in both height, weight, and triceps skinfold thickness in all patients at 3 and 6 months of PEG (pâ€‰&lt;â€‰0.05). In terms of blood parameters, there was not significant improvement, except that the number of patients with a low hemoglobin count significantly decreased at 3 and 6 months of (pâ€‰=â€‰0.022). Moreover, the number of patients with vomiting after PEG also significantly decreased at 3 and 6 months of (pâ€‰=â€‰0.004).\n          Conclusionâ€ƒPEG significantly improves malnutrition in pediatric CP patients and does not cause any major complications. Based on these findings, we think PEG is a beneficial and cost-effective intervention with a high rate of tolerability in pediatric CP patients with malnutrition."</v>
          </cell>
          <cell r="E163" t="str">
            <v>CLINICAL NEUROLOGY|PEDIATRICS</v>
          </cell>
          <cell r="F163" t="str">
            <v>cerebral palsy,malnutrition,pediatric,neurological disorders</v>
          </cell>
          <cell r="H163" t="str">
            <v>Q4</v>
          </cell>
        </row>
        <row r="164">
          <cell r="B164" t="str">
            <v>10.1055/s-0042-1743113</v>
          </cell>
          <cell r="C164" t="str">
            <v>"AbstractThere are many types of neoplasms in or around the foramen of Luschka (FL), and definitive diagnosis in some cases requires knowledge of imaging findings. The uncommon and challenging neoplasms with FL involvement considered in this study are exophytic brainstem glioma, primary glioblastoma of the cerebellopontine angle (CPA), primary anaplastic ependymoma of the CPA, choroid plexus papilloma of the FL, solitary FL choroid plexus metastasis, extraskeletal myxoid chondrosarcoma of the jugular foramen, paraganglioma of the jugular foramen, exostosis of the jugular foramen, psammomatous meningioma in the lateral cerebellar medullary cistern, epidermoid tumor of the fourth ventricle, and a hypoglossal schwannoma. These neoplasms may have overlapping clinical and imaging features, but some have relatively distinct imaging features. Knowledge of the key clinical and magnetic resonance imaging features of these unusual lesions with FL involvement is important for radiologists to improve diagnostic ability and to assist the referring physician in the appropriate management of the patient."</v>
          </cell>
          <cell r="E164" t="str">
            <v>RADIOLOGY, NUCLEAR MEDICINE &amp; MEDICAL IMAGING</v>
          </cell>
          <cell r="F164" t="str">
            <v>neoplasms,posterior fossa,foramen of Luschka,magnetic resonance imaging</v>
          </cell>
          <cell r="H164" t="str">
            <v>Q4</v>
          </cell>
        </row>
        <row r="165">
          <cell r="B165" t="str">
            <v>10.1055/s-0042-1745836</v>
          </cell>
          <cell r="C165" t="str">
            <v>"AbstractObjectiveâ€ƒRotavirus is a highly infectious and prevalent ribonucleic acid (RNA) virus that causes fatal gastroenteritis in children. Despite vitamin D deficiency is associated with susceptibility to infections, the relationship between ferritin and vitamin B12 levels is not known. This study aimed to investigate and compare the effect of rotavirus on micronutrient levels, atopy, and the frequency of allergic diseases in children with rotavirus.Methodsâ€ƒThere were rotavirus gastroenteritis (RVG) (Nâ€‰=â€‰92) and non-rotavirus (control) groups (Nâ€‰=â€‰95). Serum micronutrient levels (B12, ferritin, and 25-hydroxyvitamin D [25-OH-D3]) were checked during the first control after gastroenteritis healed. Patients were also examined for allergic diseases on an average of 17 (14â€“32) months following rotavirus infection. Serum immunoglobulin E (IgE), eosinophil count, and percentage were analyzed. Skin tests and respiratory function tests were also performed on patients with allergic disease and asthma symptoms.Resultsâ€ƒMean ferritin, B12, and 25-OH-D3 levels were lower in the RVG group compared with the control group. Allergic diseases in the RVG group were more frequent than in the control group. The prevalence of the allergic disease in the RVG group was 16.3%, as opposed to 5.2% in the control group (pâ€‰=â€‰0.014). The IgE level was significantly higher in the RVG group.Conclusionâ€ƒChildren with rotavirus infection should be followed closely in terms of allergic diseases and micronutrient deficiency. Furthermore, rotavirus infection should be prevented in the society and early treatment should be made available via tests detecting micronutrient deficiency."</v>
          </cell>
          <cell r="E165" t="str">
            <v>INFECTIOUS DISEASES|PEDIATRICS</v>
          </cell>
          <cell r="F165" t="str">
            <v>ferritin,gastroenteritis,sensitivity,rotavirus</v>
          </cell>
          <cell r="H165" t="str">
            <v>Q4</v>
          </cell>
        </row>
        <row r="166">
          <cell r="B166" t="str">
            <v>10.1055/s-0042-1759710</v>
          </cell>
          <cell r="C166" t="str">
            <v>"Abstract\n          Backgroundâ€ƒWe compared the effect of intermittent blood and histidine-tryptophan-ketoglutarate (HTK) solution of Bretschneider on myocardial histopathology and perioperative outcome.\n          Methodsâ€ƒForty adult cardiac surgery patients were grouped into two (nâ€‰=â€‰20 for each): (1) Intermittent blood cardioplegia (IBC): had repeated cold 4:1 blood cardioplegia and (2) HTK: had a single dose of cold HTK for cardioprotection. Creatine kinase (CK)-MB, Troponin-I (cTn-I), pH, and lactate were studied in coronary sinus blood before and after aortic cross-clamping (AXC) and systemic blood at postoperative 6th, 24th, and 48th hours. Myocardial biopsy was performed before and after AXC for light microscopy. Vacuolation, inflammation, edema, and glycogen were graded semiquantitatively (from 0 to 3). The myocardial apoptotic index was evaluated via the terminal deoxynucleotidyl transferase dUTP nick end labeling.\n          Resultsâ€ƒThere were no differences in perioperative clinical outcomes between the groups. The coronary sinus samples after AXC were more acidotic (7.15â€‰Â±â€‰0.14 vs. 7.32â€‰Â±â€‰0.07, pâ€‰=â€‰0.001) and revealed higher CK-MB (21.0â€‰Â±â€‰12.81 vs. 12.60â€‰Â±â€‰11.80, pâ€‰=â€‰0.008) in HTK compared with IBC. The HTK had significantly a higher amount of erythrocyte suspension intraoperatively compared with IBC (0.21â€‰Â±â€‰0.53 vs. 1.68â€‰Â±â€‰0.93 U, pâ€‰=â€‰0.001). Microscopically, myocardial edema was more pronounced in HTK compared with IBC after AXC (2.25â€‰Â±â€‰0.91 vs. 1.50â€‰Â±â€‰0.04, pâ€‰=â€‰0.013). While a significant increase in the apoptotic index was seen after AXC in both groups (pâ€‰=â€‰0.001), no difference was detected between the groups (pâ€‰=â€‰0.417).\n          Conclusionâ€ƒIBC and HTK have a similar clinical outcome and protective effect, except for more pronounced myocardial edema and increased need for intraoperative transfusion with HTK."</v>
          </cell>
          <cell r="E166" t="str">
            <v>CARDIAC &amp; CARDIOVASCULAR SYSTEMS|RESPIRATORY SYSTEM|SURGERY</v>
          </cell>
          <cell r="F166" t="str">
            <v>ischemia,histopathology,cardiac,myocardial protection</v>
          </cell>
          <cell r="H166" t="str">
            <v>Q4</v>
          </cell>
        </row>
        <row r="167">
          <cell r="B167" t="str">
            <v>10.1063/5.0042226</v>
          </cell>
          <cell r="C167" t="str">
            <v>"The non-uniform growth of microstructures in dendritic form inside the battery during prolonged chargeâ€“discharge cycles causes short-circuit as well as capacity fade. We develop a feedback control framework for the real-time minimization of such microstructures. Due to the accelerating nature of the branched evolution, we focus on the early stages of growth, identify the critical ramified peaks, and compute the effective time for the dissipation of ions from the vicinity of those branching fingers. The control parameter is a function of the maximum interface curvature (i.e., minimum radius) where the rate of runaway is the highest. The minimization of the total charging time is performed for generating the most packed microstructures, which correlate closely with those of considerably higher charging periods, consisting of constant and uniform square waves. The developed framework could be utilized as a smart charging protocol for safe and sustainable operation of rechargeable batteries, where the branching of the microstructures could be correlated with the sudden variation in the current/voltage."</v>
          </cell>
          <cell r="E167" t="str">
            <v>CHEMISTRY, PHYSICAL|PHYSICS, ATOMIC, MOLECULAR &amp; CHEMICAL</v>
          </cell>
          <cell r="H167" t="str">
            <v>Q1</v>
          </cell>
        </row>
        <row r="168">
          <cell r="B168" t="str">
            <v>10.1071/FP23085</v>
          </cell>
          <cell r="C168" t="str">
            <v>"Soil salinisation is one of the main abiotic stresses decreasing crop productivity. Here, we show that the plant treatment with iron oxide (Fe3O4) nanoparticles (NPs) may be a promising solution for reducing the negative impact of soil salinity on plant performance. For this purpose, effects of the NPs on growth, photosynthesis, pro-/antioxidant, redox balance and the content of mineral elements in 19-day-old wheat (Triticum aestivum) plants under soil salinity were studied. Seed treatment with NPs (200 and 500Â mg Lâˆ’1) enhanced growth and photosynthetic rate in leaves. Moderate salinity stress (150Â mMÂ NaCl) led to a decrease in plant biomass as well as the rate of photosynthesis and PSII activity; leaf photosynthetic characteristics were also suppressed by lower (75Â mMÂ NaCl) salinity treatment. However, seed pre-treatment with the NPs partially eliminated the negative effect of the salt on growth, PSII activity and photosynthesis. Also, we observed a decrease in the content of malondialdehyde (MDA) and an increase in ascorbate and total peroxidase activity in the plant leaves upon combined treatment with NaCl and the NPs compared with treatment with NaCl alone. The combined treatment with the NPs and salinity also led to a noticeable increase in the content of Fe and Mn in the shoot. It was concluded that Fe3O4 NPs can enhance plant growth by improving photosynthetic characteristics, antioxidant balance and the availability of iron and manganese ions, under conditions of soil salinisation."</v>
          </cell>
          <cell r="E168" t="str">
            <v>PLANT SCIENCES</v>
          </cell>
          <cell r="F168" t="str">
            <v>antioxidants,growth,iron oxide,nanoparticles,photosynthesis,soil salinity,stress,Triticum aestivum L</v>
          </cell>
          <cell r="H168" t="str">
            <v>Q2</v>
          </cell>
        </row>
        <row r="169">
          <cell r="B169" t="str">
            <v>10.1075/intp.00083.arz</v>
          </cell>
          <cell r="C169" t="str">
            <v>"Abstract\nThis study examined the role Twitter reactions play in (re)shaping the quality criteria in TV interpreting (TVI)\n                    during the Oscars ceremony in Turkey, extending over a ten-year period. The secondary goal of this study was to shed light on the\n                    extent to which tweets affected the interpreting practice, recruitment of interpreters, and the discourse about TVI in general.\n                    The thematic analysis of the tweets showed that the viewers generally criticized interpreters based on their delivery, use of\n                    voice, and word choices. Complementary interviews conducted with TV interpreters and one executive revealed that tweets were\n                    instrumentalized by executives and recruiters both in real time and during the recruitment process; in this way they became a\n                    quality instrument with which to evaluate TV interpretersâ€™ performance. The findings are discussed in the light of the literature\n                    on TVI and are used to advance both practical and theoretical implications for the practice of TVI."</v>
          </cell>
          <cell r="E169" t="str">
            <v>LANGUAGE &amp; LINGUISTICS|LINGUISTICS</v>
          </cell>
          <cell r="F169" t="str">
            <v>TV interpreting,media interpreting,Twitter,quality criteria in interpreting,Oscars ceremony</v>
          </cell>
          <cell r="H169" t="str">
            <v>Q2</v>
          </cell>
        </row>
        <row r="170">
          <cell r="B170" t="str">
            <v>10.1080/00015385.2023.2187126</v>
          </cell>
          <cell r="C170" t="str">
            <v>"Abstract Background Contrast-induced acute kidney injury (CI-AKI) is a disorder that adversely affects the prognosis of STEMI. The study aimed to assess the predictive value of a new marker, logarithm of haemoglobin and albumin product (LHAP) on the risk of CI-AKI development after primary percutaneous coronary intervention (p-pcÄ±). Method We retrospectively enrolled 3057 patients with ST-elevation acute myocardial infarction who were treated with p-PCI. The primary outcome was CI-AKI, defined as &gt;25% or &gt;0.5â€‰mg/dl increase of baseline creatinine values during post-procedural 48â€‰h. Results First, a baseline model was produced to determine the predictors of CI-AKI, then haemoglobin, albumin and LHAP were included in the base model and the performances of all models were compared. The predictive accuracy (Likelihood ratio Ï‡ 2 and R 2) and discrimination (ROC-AUC) of the model including LHAP were significantly higher than that of models including both albumin and Hgb. LHAP best cut-off value for the development of CI-AKI was 9.26 (sensitivity 68% and specificity 66%). Conclusion LHAP values were the most important predictor of CI-AKI, followed by creatinine value and Killip class. LHAP values are significantly associated with CI-AKI after p-PCI."</v>
          </cell>
          <cell r="E170" t="str">
            <v>CARDIAC &amp; CARDIOVASCULAR SYSTEMS</v>
          </cell>
          <cell r="F170" t="str">
            <v>Hemoglobin,creatinine,acute kidney injury,myocardial infarction,albumin,morbidity</v>
          </cell>
          <cell r="H170" t="str">
            <v>Q4</v>
          </cell>
        </row>
        <row r="171">
          <cell r="B171" t="str">
            <v>10.1080/00015385.2023.2289714</v>
          </cell>
          <cell r="C171" t="str">
            <v>"Abstract Background In patients with symptomatic mitral PVL, successful transcatheter reduction of the PVL to less than mild is associated with significant improvement in short- and midterm survival. Objectives In this study, we present our single-centre, same operatorsâ€™ experience on percutaneous paravalvular leak closure with techniques and outcomes. Methods In this retrospective observational designed study, we retrieved hospital records of patients with a surgical history of mechanical or biological prosthetic valve replacement and who subsequently underwent transcatheter mitral paravalvular leak closure (TMPLC). All procedures were performed by the same operators. Results A total of 45 patients with 58 PVDs underwent TMPLC using 60 devices. All patients had moderate or severe mitral paravalvular regurgitation associated with symptomatic HF (15.6%), clinically significant haemolytic anaemia (57.8%) or both (26.7%). The technical success rate was 91.4%, with 53 defects successfully occluded. The clinical success rate was 75.6%. Among the clinical success parameters, the preprocedural median ejection fraction increased from 45% (35â€“55) to 50% (40â€“55) (pâ€‰=â€‰.04). Mitral gradients decreased from max/mean 18/8â€‰mmHg to max/mean 16/7â€‰mmHg; pâ€‰=â€‰.02). Haemoglobin levels increased from 9.9 (8.5â€“11.1) to 11.1 (3â€“13); pâ€‰=â€‰.003. LDH levels decreased from 875 (556â€“1125) to 435 (314â€“579); p: &lt;.001. All-cause 30-day and in-hospital mortality rates were the same at 8.9%. Conclusion This single-centre study with a limited number of patients confirmed that TMPLC is a safe and effective procedure to improve symptoms and severity of PVL."</v>
          </cell>
          <cell r="E171" t="str">
            <v>CARDIAC &amp; CARDIOVASCULAR SYSTEMS</v>
          </cell>
          <cell r="F171" t="str">
            <v>Percutaneous closure,paravalvular defect,mitral prosthetic valve</v>
          </cell>
          <cell r="H171" t="str">
            <v>Q4</v>
          </cell>
        </row>
        <row r="172">
          <cell r="B172" t="str">
            <v>10.1080/00015458.2022.2161035</v>
          </cell>
          <cell r="C172" t="str">
            <v>"Abstract Background Surgery has deep historical roots. Rhazes (865â€“925 CE), a Persian physician, made a significant contribution to the development of medical sciences in the medieval era. Liber Almansoris is one of his significant works on medicine. This book is a medical textbook for medical students. It covers every aspect of the medical sciences. This article discusses Rhazesâ€™ contribution to surgery, based on Liber Almansoris. Method This study examines Rhazesâ€™ contribution to surgery, based on his book, Liber Almansoris. Results Rhazesâ€™s Liber Almansoris contains a chapter (seventh chapter) on orthopedics, which includes surgical approaches. This chapter also describes surgical procedures for traumas and skull fractures. In other chapters, he also recommends surgical options for treating certain complications when discussing different treatment methods. Discussion Although Rhazes mentioned surgical procedures as a medical treatment method, he did not include a separate chapter on surgery. This strategy can be found in his other medical works, such as Liber Continens or Al-Hawi. It appears that Rhazes adheres to the Galenic (Greek) perspective on surgery. In this context, surgery is not an independent major but a method that a physician can employ as needed. It differs from an alternative approach in that era that adheres to ancient Persian perspectives, which identified surgery as a major like other medical sciences disciplines."</v>
          </cell>
          <cell r="E172" t="str">
            <v>SURGERY</v>
          </cell>
          <cell r="F172" t="str">
            <v>Surgery,Persian medicine,history of medicine,medieval era</v>
          </cell>
          <cell r="H172" t="str">
            <v>Q4</v>
          </cell>
        </row>
        <row r="173">
          <cell r="B173" t="str">
            <v>10.1080/00085030.2022.2104563</v>
          </cell>
          <cell r="C173" t="str">
            <v>"Abstract The third trochanter (TT) is a proximal femoral accessory tubercle at the upper border of the gluteal tuberosity that is unusually encountered on the posterior aspect. However, detailed knowledge about the TT remains limited. For this reason, TT was investigated in all its aspects. To give an overview about the TT, a review was conducted in databases until November 2021. Out of 4981 articles, only 53 articles could be included, most of which were studies conducted on dry femurs. The TT can be a result of the developmental process of gluteus maximus due to posture and bipedal locomotor activity. Another explanation of the formation of TT is the inactivation, deficiency, or mutation of specific genes that cause alterations in the proximal femoral end. The current review leads to the assumption that TT, considered for all mammalians, can be an evolutionary adaptation and may be a result of altered muscle activity, increased mechanical force, and reduced stress on the femoral shaft. Therefore, TT should be used in genomic studies related to the evolution of mammalians. An improvement in study design, the scale of the study, methodology, and the selection of mammalian species may permit more comprehensive analysis and reduce study heterogeneity. RÃ©sumÃ© Le troisiÃ¨me trochanter (TT) du femur est un tubercule accessoire proximal au bord supÃ©rieur de la tubÃ©rositÃ© fessiÃ¨re qui est exceptionnellement rencontrÃ© sur la face postÃ©rieure. Pour cette raison, le TT a Ã©tÃ© Ã©tudiÃ© avec tous ses characteristiques. Cependant, les connaissances dÃ©taillÃ©es sur le TT restent limitÃ©es. Pour cette raison, le TT a Ã©tÃ© Ã©tudiÃ© avec une approche exhaustive. Pour donner un aperÃ§u sur le TT, une revue a Ã©tÃ© menÃ©e dans les bases de donnÃ©es jusquâ€™en novembre 2021. Sur 4981 articles, seuls 53 articles ont pu Ãªtre inclus, dont la plupart Ã©taient des Ã©tudes menÃ©es sur des fÃ©murs secs. Le TT peut Ãªtre le rÃ©sultat du processus de dÃ©veloppement du grand fessier en raison de la posture et de lâ€™activitÃ© locomotrice bipÃ¨de. Une autre explication de la formation du TT est lâ€™inactivation, la dÃ©ficience ou la mutation de gÃ¨nes spÃ©cifiques qui provoquent des altÃ©rations de lâ€™extrÃ©mitÃ© fÃ©morale proximale. Lâ€™examen actuel conduit Ã  lâ€™hypothÃ¨se que le TT, considÃ©rÃ© pour tous les mammifÃ¨res, peut Ãªtre une adaptation Ã©volutive et peut Ãªtre le rÃ©sultat dâ€™une activitÃ© musculaire altÃ©rÃ©e, dâ€™une force mÃ©canique accrue et dâ€™un stress rÃ©duit sur la tige fÃ©morale. Par consÃ©quent, le TT devrait Ãªtre utilisÃ© dans les Ã©tudes gÃ©nomiques liÃ©es Ã  lâ€™Ã©volution des mammifÃ¨res. Une amÃ©lioration de la conception de lâ€™Ã©tude, de lâ€™Ã©chelle de lâ€™Ã©tude, de la mÃ©thodologie et de la sÃ©lection des espÃ¨ces de mammifÃ¨res peut permettre une analyse plus complÃ¨te et rÃ©duire lâ€™hÃ©tÃ©rogÃ©nÃ©itÃ© de lâ€™Ã©tude."</v>
          </cell>
          <cell r="E173" t="str">
            <v>MEDICINE, LEGAL</v>
          </cell>
          <cell r="F173" t="str">
            <v>Third trochanter,trochanter tertius,accessory trochanter,femur,thigh,lower limb</v>
          </cell>
          <cell r="H173" t="str">
            <v>Q4</v>
          </cell>
        </row>
        <row r="174">
          <cell r="B174" t="str">
            <v>10.1080/0013791X.2023.2179709</v>
          </cell>
          <cell r="C174" t="str">
            <v>"Abstract Cost-benefit analysis is a benefit measurement method that compares the cost required to realize the product, service or result with the benefits to be obtained. It allows future earnings to be calculated with the present value of money and different projects can be compared. In this study, the uncertainties of decision maker inputs were reflected in a more realistic way by dealing with the cost-benefit analysis under decomposed fuzzy sets. The contribution of this study to the literature are the decomposed fuzzy linguistic term scale, which is proposed for the first time, and the new equations and formulations developed for cost-benefit analysis under fuzziness. This study also contributes to the successful applicability of engineering economics issues and financial analysis methods under fuzziness."</v>
          </cell>
          <cell r="E174" t="str">
            <v>BUSINESS|ENGINEERING, INDUSTRIAL|MANAGEMENT|OPERATIONS RESEARCH &amp; MANAGEMENT SCIENCE</v>
          </cell>
          <cell r="H174" t="str">
            <v>Q4</v>
          </cell>
        </row>
        <row r="175">
          <cell r="B175" t="str">
            <v>10.1080/00207454.2020.1849191</v>
          </cell>
          <cell r="C175" t="str">
            <v>"Abstract Background Natural polyphenols have been investigated and are claimed to be mediators of the relationship between dopamine (DA) and memory. Therefore, we aimed to measure and evaluate the effect of syringic acid (SA) on DA expression by behavioral tests related to short-term and recognition memory in Wistar rats. Methods Rats were randomly assigned to control (0.5â€‰cc corn oil, nâ€‰=â€‰10), SA (25â€‰mg/kg/day, o.g, nâ€‰=â€‰10), Deltamethrin (DTM) (1.28â€‰mg/kg/day o.g, nâ€‰=â€‰10) and DTM (1.28â€‰mg/kg/day o.g, nâ€‰=â€‰10) + SA (25â€‰mg/kg/day) groups. The Y-maze and Novel Object Recognition (NOR) tests were performed to assess cognitive and behavioral functions in the rats. Dopamine levels in the hippocampus were measured by mass spectrometry. Results Syringic acid significantly increased DA (5.45â€‰Â±â€‰1.06â€‰ng/ml, pâ€‰=â€‰0.0026, pâ€‰&lt;â€‰0.05) compared with the other groups. SA increased the percent alternation (34.85â€‰Â±â€‰0.72%, pâ€‰&lt;â€‰0.05), time spent in the novel arm (2.88â€‰Â±â€‰0.18â€‰min, pâ€‰&lt;â€‰0.05), and frequency of novel arm entries (44.91â€‰Â±â€‰2.28%, pâ€‰&lt;â€‰0.05), of the rats after the Y-maze test. The SA elevated the discrimination index (70.42â€‰Â±â€‰3.59%, pâ€‰&lt;â€‰0.001), and exploration time (30.44â€‰Â±â€‰1.8â€‰sec, pâ€‰&lt;â€‰0.05) in the NOR test, and increased the short term and recognition memory in behavioral tests. Conclusion Our findings support the hypothesis that SA-induced DA levels of the hippocampus may facilitate recognition and short-term memory in Wistar rats through the activation of dopaminergic receptors or pathways during the learning process, and that this can be seen in the cognitive behavior of SA-treated rats."</v>
          </cell>
          <cell r="E175" t="str">
            <v>NEUROSCIENCES</v>
          </cell>
          <cell r="F175" t="str">
            <v>Syringic acid,dopamine,memory,hippocampus,brain</v>
          </cell>
          <cell r="H175" t="str">
            <v>Q4</v>
          </cell>
        </row>
        <row r="176">
          <cell r="B176" t="str">
            <v>10.1080/00207543.2020.1777481</v>
          </cell>
          <cell r="C176" t="str">
            <v>"Resource scheduling has been one of the most prominent problems due to its technical challenges and prevalence in real-life. In this paper, we focus on an extension of the parallel machine scheduling problem with additional resources, which can be classified as a static resource-constrained parallel machine scheduling problem with unspecified job-machine assignment. The novelty of the problem we tackle stems from the additional resource that consists of components with discrete levels. The allocation of this resource to machines induces general covering constraints. This distinct characteristic of the additional resource also arises in a real-life audit scheduling problem, in which local branches of a financial firm are to be audited by a set of auditors with different experience levels. The quantification of the auditor experience and the branch experience requirement enable us to model this problem as an extension of the aforementioned scheduling problem with extra constraints related to the auditing process. We propose mathematical models for these problems and two constructive heuristic algorithms. The upper bounds attained by these algorithms are improved by a tabu-search algorithm, and an efficient lower bounding technique is developed for comparative purposes. We conduct extensive computational experiments to assess the performance of the proposed algorithms."</v>
          </cell>
          <cell r="E176" t="str">
            <v>ENGINEERING, INDUSTRIAL|ENGINEERING, MANUFACTURING|OPERATIONS RESEARCH &amp; MANAGEMENT SCIENCE</v>
          </cell>
          <cell r="F176" t="str">
            <v>Parallel Machine scheduling,personnel scheduling,auditing,tabu search,matheuristic,integer programming</v>
          </cell>
          <cell r="H176" t="str">
            <v>Q1</v>
          </cell>
        </row>
        <row r="177">
          <cell r="B177" t="str">
            <v>10.1080/00288233.2021.1876107</v>
          </cell>
          <cell r="C177" t="str">
            <v>"ABSTRACT Body weight measurement of animals is often labor-intensive for farmers and stressful for animals. To this end, several methods have been researched and implemented to automate this process. In this study, we performed a Systematic Literature Review to identify and synthesise the published studies on the body weight estimation approaches for livestock (i.e. cattle and pigs). Information about features of models, underlying methods, performance evaluation parameters, challenges, and solutions using computer vision-based weight estimation, and characteristics of the future vision-based weight estimation models were presented based on the identified scientific papers. We found 151 papers, of which 26 papers were selected as primary studies that we analyzed in detail. We identified that: (1) seven features, namely top view body area, withers height, hip height, body length, hip-width, body volume, and chest girth are widely used in approaches; (2) 3D Time of Flight camera is the most preferred one; (3) the linear regression is the most used algorithm; (4) the application of Deep Learning algorithms is still very limited; and (5) coefficient of determination is the most used evaluation parameter for weight estimation. In addition to these observations, 13 challenges, 22 solutions, and guidelines for future research direction were presented."</v>
          </cell>
          <cell r="E177" t="str">
            <v>AGRICULTURE, MULTIDISCIPLINARY</v>
          </cell>
          <cell r="F177" t="str">
            <v>Animal body weight estimation,systematic literature review (SLR),machine learning,livestock,computer vision</v>
          </cell>
          <cell r="H177" t="str">
            <v>Q2</v>
          </cell>
        </row>
        <row r="178">
          <cell r="B178" t="str">
            <v>10.1080/00387010.2023.2181358</v>
          </cell>
          <cell r="C178" t="str">
            <v>"Abstract Medicinal plants have been used throughout history in the treatment of many diseases in traditional Anatolian folk medicine as well as all over the world. The rapid increase in agricultural and industrial activities due to the increasing population around the world causes air, water and soil pollution, and accumulation of potentially toxic elements in medicinal plants. In this study, plant mineral nutrients and potentially toxic elements analyzes were carried out in 38 plant species belonging to the medicinally important families Asteraceae, Fabaceae and Lamiaceae. The percentage of macroelements (in %) varies between 0.20 and 1.46 for calcium, 0.08 and 1.35 for potassium, 0.04 and 0.24 for magnesium, 0.01 and 0.34 for sodium, while concentrations of microelements and potentially toxic elements (in mg kgâˆ’1) vary between 3.21 and 721.28 for aluminum, 41.33 and 231.01 for boron, 0.01 and 0.61 for cadmium, 1.09 and 47.79 for chromium, 12.90 and 43.13 for copper, 17.75 and 1109.39 for iron, 51.50 and 715.48 for manganese, 0.12 and 9.42 for nickel, 1.58 and 22.11 for lead and finally 80.82 and 260.08 for zinc. In addition, estimated daily intake (EDI), target hazard quotient (THQ), and hazard index (HI) for potentially toxic elements, and Recommended Dietary Allowance (RDA) values for mineral nutrients were calculated. In some samples in industrial and mining areas, accumulation of some potentially toxic elements was slightly above the permissible limits set by the World Health Organization (WHO). In Summary, the importance of collecting medicinal plants from protected areas such as mountainous rural areas, far from mining, close to clean rivers, and regular control of values with potentially toxic elements analyzes for human health has been understood once again."</v>
          </cell>
          <cell r="E178" t="str">
            <v>SPECTROSCOPY</v>
          </cell>
          <cell r="F178" t="str">
            <v>Dietary intake,ethnobotany,human health risk,phytoaccumulation,trace element</v>
          </cell>
          <cell r="H178" t="str">
            <v>Q3</v>
          </cell>
        </row>
        <row r="179">
          <cell r="B179" t="str">
            <v>10.1080/00387010.2023.2257791</v>
          </cell>
          <cell r="C179" t="str">
            <v>"Abstract The aim of the current investigation was to determine the concentration of different metals in Mentha spicata L. subsp. tomentosa plants and soils in order to highlight the pollution level in a Turkish Organized Industrial Zone in Dilovasi District, in Kocaeli City. The concentration of metals in plant and soil samples were examined. When the soil values were examined, the highest cadmium, chromium, copper, iron, nickel, and lead levels were collected from the location which is hosting numerous industrial facilities. All elements except boron and copper, exceeded normal limits in the leaf samples while cadmium, chromium, iron, nickel, lead, and zinc reached â€œtoxic levelsâ€ in leaf samples. Heavy metals were accumulated in leaves more than rhizomes. Mineral element uptake and accumulation were affected from heavy metal amounts, especially in rhizomes. Although washing procedure notably reduced the concentration of some heavy metals in leaves samples, the reduced values were higher than acceptable levels in some locations of the district. According to the data, it may be said that the region, especially its industrialized parts are heavily polluted by heavy metals. Moreover, in the accordance with the fact that, the highest values of elements were determined in regions having considerable industrial activity such as metal and plastic processing facilities. Additionally, Mentha spicata plants exhibited higher heavy metal values in areas with high heavy metal content in the soil, and lower heavy metal values in areas with low heavy metal concentration. These findings indicate that Mentha spicata, a plant known for its medicinal and culinary uses, can be considered as an effective biomonitor for heavy metal pollution in the region. Consequently, constant inspection is required to prevent the excessive buildup of metals in the region and similar areas with comparable characteristics in terms of human life."</v>
          </cell>
          <cell r="E179" t="str">
            <v>SPECTROSCOPY</v>
          </cell>
          <cell r="F179" t="str">
            <v>Bioaccumulation,Dilovasi district,elements,Mentha spicata</v>
          </cell>
          <cell r="H179" t="str">
            <v>Q3</v>
          </cell>
        </row>
        <row r="180">
          <cell r="B180" t="str">
            <v>10.1080/01436597.2023.2223125</v>
          </cell>
          <cell r="C180" t="str">
            <v>"Abstract The concept of modernity and its association with the West and secularism is being challenged with the rise of religious movements in the age of globalisation. This provides a fertile ground for alternative modernities, disconnected from the West and secularism, to surface. This paper provides a theoretical explanation for the emergence of alternative modernities by drawing on insights from epistemic injustice and recognition theory, through an analysis of Turkish media outlets. Turkey serves as an illustrative case to examine the emergence of alternative modernities due to its long-standing tradition of incorporating Western modernity and its complex liminal identity between the boundaries of the East and the West. This paper argues that the period from 2005 to 2020 presented a window of opportunity for an alternative modernities paradigm to engage in epistemic struggles for recognition, supported by the ideological context of the Justice and Development Party (Adalet ve KalkÄ±nma Partisi or AKP) government. This period paved the way for questioning the superiority and uniqueness of Western modernity. However, it also indicates the birth of a new form of epistemic injustice as counter-narratives defending the superiority of Islamic civilisation emerged, seeking to establish epistemic hegemony for Islam and its association with modernity."</v>
          </cell>
          <cell r="E180" t="str">
            <v>DEVELOPMENT STUDIES</v>
          </cell>
          <cell r="F180" t="str">
            <v>Alternative modernity,Eurocentrism,epistemic injustice,recognition theory,Turkey</v>
          </cell>
          <cell r="H180" t="str">
            <v>Q3</v>
          </cell>
        </row>
        <row r="181">
          <cell r="B181" t="str">
            <v>10.1080/01443615.2022.2054688</v>
          </cell>
          <cell r="C181" t="str">
            <v>"Abstract The aim of the study was to investigate the short-term effects of low-dose aspirin treatment on uterine artery Doppler in pregnancies that were high-risk for preeclampsia. This prospective observational study included 82 patients with singleton pregnancies between 11â€“14â€‰weeks of gestation. Uterine artery Doppler measurements were obtained by transvaginal ultrasonography at the first prenatal visit of women who started low-dose aspirin treatment due to the high risk of preeclampsia and women who did not receive low-dose aspirin. Uterine artery Doppler measurements of both groups were repeated 7â€“10â€‰days after the first examination. There was a significant decrease in the presence of uterine artery diastolic notch in the low-dose aspirin group (p &lt; .001). In both groups, the mean uterine artery PI values between the two exams tended to decrease, but the decrease in the control group was the only significant decrease (p = .014). The changes in Doppler indices were more pronounced in the control group. Therefore, they are much more likely to be related to the increase in gestational age than with the use of aspirin. Although there was an improvement in uterine arteries of Doppler measurements in high-risk women, they still had a high resistant flow compared to women with normal pregnancies. IMPACT STATEMENT What is already known on this subject? Pregnant women at high risk of preeclampsia have increased uterine artery resistance. Low-dose aspirin therapy is the only strategy to prevent the development of preeclampsia in these patients. What do the results of this study add? Low-dose aspirin therapy may improve uterine perfusion in the short term. After treatment, uterine artery resistance remains higher than in normal pregnancies. What are the implications of these findings for clinical practice and/or further research? Since baseline uterine blood flow and changes throughout pregnancy can be very different depending on the risk of preeclampsia, aspirin-treated or untreated groups may be used to evaluate the efficacy of aspirin in future studies. For example, patients with 11 weeks and 13 weeks of gestation can be divided into aspirin treated and control groups and efficacy of starting the aspirin treatment at 11 weeks of gestation vs 13 weeks of gestation can be evaluated."</v>
          </cell>
          <cell r="E181" t="str">
            <v>OBSTETRICS &amp; GYNECOLOGY</v>
          </cell>
          <cell r="F181" t="str">
            <v>First trimester,low-dose aspirin,uterine artery Doppler,preeclampsia</v>
          </cell>
          <cell r="H181" t="str">
            <v>Q4</v>
          </cell>
        </row>
        <row r="182">
          <cell r="B182" t="str">
            <v>10.1080/0144929X.2021.1876767</v>
          </cell>
          <cell r="C182" t="str">
            <v>"ABSTRACT Despite gaining consumer momentum and interest of Virtual Reality (VR) in the consumer marketplace, the literature has lagged in exploring the continuance usage behaviour and factors associated with the post-adoption. To build on this, the current research seeks to identify factors that support the continuance usage of current VR users. To examine this, we employ a mixed-method approach. In Study 1, we initially gathered a total of 3,205 actual purchasers (Amazon verified purchase) from the top 10 VR brands listed in Amazon.com, Through a nethnographic content analysis, the key determinants of post-adoption of VR devices emerged (i.e. perceived functional benefit, perceived discomfort, perceived focused immersion, temporal dissociation, perceived health risk, and task quality). In Study 2, hypotheses were tested using structural equation modelling from 119 current VR users. The results demonstrate temporal dissociation and task quality were found to be the most significant antecedents affecting continuance usage. Theoretical and managerial implications are debated, as well as suggestions for future research."</v>
          </cell>
          <cell r="E182" t="str">
            <v>COMPUTER SCIENCE, CYBERNETICS|ERGONOMICS</v>
          </cell>
          <cell r="F182" t="str">
            <v>Virtual reality,VR,Netnography,continuance intention,immersion,post-adoption</v>
          </cell>
          <cell r="H182" t="str">
            <v>Q2</v>
          </cell>
        </row>
        <row r="183">
          <cell r="B183" t="str">
            <v>10.1080/01616412.2021.1949684</v>
          </cell>
          <cell r="C183" t="str">
            <v>"ABSTRACT Clinical intervention of pain is often accompanied by changes in affective behaviors, so both assays of affective and sensorial aspects of nociception play an important role in the development of novel analgesics. Although positive allosteric modulation (PAM) of Î±7 nicotinic acetylcholine receptors (nAChRs) has been recognized as a novel approach for the relief of sensorial aspects of pain, their effects on affective components of pain remain unclear. Therefore, we investigated whether PAM-4, a highly selective Î±7-nAChR PAM, attenuates inflammatory and neuropathic pain, as well as the concomitant depressive/anxiety comorbidities. The anti-nociceptive activity of PAM-4 was assessed in mice using the formalin test and chronic constriction injury (CCI)-induced neuropathic pain model. The anxiolytic- and antidepressant-like activity of PAM-4 was evaluated using the marble burying test and forced swimming test. Acute systemic administration of PAM-4 dose-dependently reversed formalin-induced paw licking behavior and CCI-induced mechanical allodynia without development of any motor impairment. PAM-4 reversed the decreased swimming time and number of buried marbles in CCI-treated mice, suggesting that this ligand attenuates chronic pain-induced depression-like behavior and anxiogenic-like effects. The effects of PAM-4 were inhibited by the Î±7-selective antagonist methyllycaconitine, indicating molecular mechanism mediated by Î±7-nAChRs. Indeed, electrophysiological recordings showed the PAM-4 enhances human Î±7 nAChRs with higher potency and efficacy compared to rat Î±7 nAChRs. These findings suggest that PAM-4 reduces both sensorial and affective behaviors induced by chronic pain in mice by Î±7-nAChR potentiation. PAM-4 deserves further investigations for the management of chronic painful conditions with comorbidities."</v>
          </cell>
          <cell r="E183" t="str">
            <v>CLINICAL NEUROLOGY|NEUROSCIENCES</v>
          </cell>
          <cell r="F183" t="str">
            <v>alpha 7 nicotinic acetylcholine receptors,positive allosteric modulator,PAM-4,formalin,chronic constriction injury,neuropathic pain,electrophysiology</v>
          </cell>
          <cell r="H183" t="str">
            <v>Q4</v>
          </cell>
        </row>
        <row r="184">
          <cell r="B184" t="str">
            <v>10.1080/01616412.2022.2072100</v>
          </cell>
          <cell r="C184" t="str">
            <v>"ABSTRACT Objective We aimed to investigate the hypothesis that sigma receptor ligands, haloperidol and ifenprodil, attenuate hypoxia-induced striatal dopamine release in vitro and determine the possible mechanisms. Methods Extracellular concentrations of dopamine were measured using acute brain slices method under hypoxic, aglycemic and ischemic conditions. Sigma receptor ligands haloperidol and ifenprodil attenuate striatal dopamine release induced by hypoxia in contrast to aglycemia and ischemia. To determine the possible contribution of glutamatergic system on this effect, we compared the effect of NMDA receptor antagonist MK-801 and haloperidol in hypoxia induced by Na-K-ATPaz enzyme inhibitor ouabain. Also, we compared the effect of dopamine uptake blocker nomifensine and haloperidol to determine the role of dopamine transporter on this effect. Results Haloperidol and nomifensine almost completely abolish ouabain-induced dopamine release unlike MK-801. Different effects of sigma ligands and glutamate receptor antagonists on the hypoxia and ouabain induced dopamine release show that glutamate receptor blockade is partial involved in inhibitory effect of sigma ligand on dopamine release under hypoxic conditions. Similar effect of dopamine uptake blocker nomifensine and sigma receptor ligand haloperidol on ouabain induced dopamine release supports the possibility that inhibition of reverse dopamine transport by sigma ligands might be involved in their protective effect. Conclusions Data in this study suggest that sigma ligands may be a new therapeutic intervention for the management of hypoxic conditions."</v>
          </cell>
          <cell r="E184" t="str">
            <v>CLINICAL NEUROLOGY|NEUROSCIENCES</v>
          </cell>
          <cell r="F184" t="str">
            <v>Dopamine,glutamate,haloperidol,hypoxia,sigma receptor ligands,reverse dopamine transport</v>
          </cell>
          <cell r="H184" t="str">
            <v>Q4</v>
          </cell>
        </row>
        <row r="185">
          <cell r="B185" t="str">
            <v>10.1080/01616412.2023.2258038</v>
          </cell>
          <cell r="C185" t="str">
            <v>"ABSTRACT Objectives This research targeted to understand the impact of clinical findings, non-motor symptoms, white matter hyperintensities (WMHs), and metabolic features on cognition in Parkinsonâ€™s disease patients with mild cognitive impairment (PD-MCI). Methods Sixty-one PD patients sundered into two groups: PD-MCI and normal cognition (PD-NC). We assessed cognition using Montreal Cognitive Assessment-TR (MoCA-TR) and Frontal Assessment Battery (FAB). We used the modified Hoehn&amp;Yahr staging scale (mH&amp;Y), Unified Parkinsonâ€™s Disease Rating Scale (UPDRS), Freezing of Gait questionnaire, Beck Depression Inventory, Parkinsonâ€™s disease sleep scale-2, Pittsburgh sleep quality index, Epworth sleepiness scale, and Non-motor symptoms questionnaire to evaluate all patients. We used the Fazekas scale to evaluate the WMHs and also investigated all laboratory parameters affecting cognitive functions. Results Duration of disease, UPDRS-Motor part, age, disease stage, and daytime sleepiness were dramatically higher in the PD-MCI group than in PD-NC (pâ€‰&lt;â€‰0.05). WMHs and homocysteine were higher in the PD-MCI group than in the controls (pâ€‰=â€‰0.016 and pâ€‰&lt;â€‰0.001, respectively). There was a negative correlation between cognition and duration of disease, age, disease stage, UPDRS-Motor scale, daytime drowsiness, WMHs and homocysteine levels. Homocysteine was negatively related to visuospatial/executive functions (r=-0.303, pâ€‰=â€‰0.021). WMHs were correlated with global cognition (p =.000â€‰râ€‰=â€‰.-542), language (pâ€‰=â€‰.001, râ€‰=â€‰-.434), and delayed recall (pâ€‰=â€‰.011, râ€‰=â€‰-.332). Discussion Mild cognitive impairment is a widespread clinical situation of PD patients and often presents before the motor symptoms. Revealing curable causes that affect cognition before the development of PD-related dementia is crucial in controlling motor findings and reducing the burden of the caretakers."</v>
          </cell>
          <cell r="E185" t="str">
            <v>CLINICAL NEUROLOGY|NEUROSCIENCES</v>
          </cell>
          <cell r="F185" t="str">
            <v>Mild cognitive impairment,Parkinson's disease,homocysteine, white matter hyperintensities,dementia,homocysteine,white matter hyperintensities</v>
          </cell>
          <cell r="H185" t="str">
            <v>Q4</v>
          </cell>
        </row>
        <row r="186">
          <cell r="B186" t="str">
            <v>10.1080/01630563.2023.2183509</v>
          </cell>
          <cell r="C186" t="str">
            <v>"Abstract The present article investigates nonlocal boundary value problems for parabolic equations of reverse type on torus. The first order of accuracy difference scheme for the numerical solution of nonlocal boundary value problems for parabolic equations on circle and torus are presented. For the solutions of the difference scheme, the stability estimates and coercivity estimates in various HÃ¶lder norms are established. Furthermore, theoretical results are supported by numerical experiments."</v>
          </cell>
          <cell r="E186" t="str">
            <v>MATHEMATICS, APPLIED</v>
          </cell>
          <cell r="F186" t="str">
            <v>Difference equations on manifolds,difference schemes,self-adjoint positive definite operator,well-posedness</v>
          </cell>
          <cell r="H186" t="str">
            <v>Q2</v>
          </cell>
        </row>
        <row r="187">
          <cell r="B187" t="str">
            <v>10.1080/0167482X.2022.2124911</v>
          </cell>
          <cell r="C187" t="str">
            <v>"Abstract Aim: The aim of this study was to determine the anxiety levels of pregnant women who were referred to a tertiary center for fetal echocardiography (FE) and the effect of FE results on maternal anxiety. Methods: This prospective study was conducted between January 2020 and February 2021 and included 118 pregnant women. The anxiety levels of the participants were evaluated with the Spielberger State-Trait Anxiety Inventory, which evaluates state (STAI-I) and trait (STAI-II) anxiety. STAI-I and STAI-II were administered to participants at first admission using a standard interview technique prior to FE. After the FE was completed, a structured interview was performed and the state anxiety index (STAI-I-R) was re-administered to the participants. Results: Severe congenital heart disease (CHD) was detected in 63 (53.4%) fetuses. The participantsâ€™ mean STAI-I scores were significantly higher than their mean STAI-II scores (44.19â€‰Â±â€‰8.56 and 41.98â€‰Â±â€‰5.98, respectively, tâ€‰=â€‰2.59 and pâ€‰=â€‰0.011). In pregnant women with fetuses with severe CHD, STAI-I-R scores were significantly lower compared to STAI-I scores (43.48â€‰Â±â€‰7.97 and 46.28â€‰Â±â€‰7.18, respectively, tâ€‰=â€‰2.13 and pâ€‰=â€‰0.037). Conclusion: Referral for FE is associated with increased maternal anxiety, and a structured interview may result in reduced anxiety levels even in those with abnormal FE."</v>
          </cell>
          <cell r="E187" t="str">
            <v>OBSTETRICS &amp; GYNECOLOGY|PSYCHIATRY|PSYCHOLOGY, CLINICAL</v>
          </cell>
          <cell r="F187" t="str">
            <v>Echocardiography,congenital heart defects,maternal anxiety,mental health,state-trait anxiety inventory</v>
          </cell>
          <cell r="H187" t="str">
            <v>Q2</v>
          </cell>
        </row>
        <row r="188">
          <cell r="B188" t="str">
            <v>10.1080/01694243.2021.1882779</v>
          </cell>
          <cell r="C188" t="str">
            <v>"Abstract This study investigated the effect of universal adhesives on the resin compositeâ€“composite adhesion for immediate and aged repair with and without air-borne particle abrasion. Composite resin specimens were fabricated by placing multiple increments of resin composite (Clearfil Majesty Posterior) into cylindrical cavities (diameter: 4â€‰mm, height: 2â€‰mm) and photo-polymerized. Specimens (Nâ€‰=â€‰720) were randomly assigned to 4 groups (fresh dry specimens, 24â€‰h and 6â€‰months water storage and thermocycled). These four main groups (nâ€‰=â€‰180) were further assigned to 2 groups (nâ€‰=â€‰90) according to the surface conditioning procedures; (a) Al2O3 air-abrasion and (b) No air-abrasion. Then, all subgroups were divided into six subgroups due to the adhesive procedures (a) All Bond Universal: AB (Bisco Inc.), (b) Monobond Plus: MP (Ivoclar Vivadent), (c) G-Premio Bond: GP (GC), Gluma Bond Universal: GB (Heraus Kulzer), Clearfil Universal Bond: CU (Kuraray), Clearfil Universal Bond Quick: SK (Kuraray). All bonding systems were applied according to the manufacturerâ€™s instructions and new composite blocks were bonded to the specimens for shear bond strength testing at the Universal Testing Machine (0.5â€‰mm/min). Al2O3 air-abraded groups showed significantly higher bond strength values compared to non-treated groups (pâ€‰&lt;â€‰0.0001). CU and SK groups showed higher bond strength values and the worst values were observed for the groups of MP. Conditioning with Al2O3 air-abrasion and silane in universal adhesives improves the bond strength of universal adhesives in composite repair."</v>
          </cell>
          <cell r="E188" t="str">
            <v>ENGINEERING, CHEMICAL|MATERIALS SCIENCE, MULTIDISCIPLINARY|MECHANICS</v>
          </cell>
          <cell r="F188" t="str">
            <v>Adhesion,aging,air-abrasion,bond strength,silane,universal adhesives</v>
          </cell>
          <cell r="H188" t="str">
            <v>Q3</v>
          </cell>
        </row>
        <row r="189">
          <cell r="B189" t="str">
            <v>10.1080/01913123.2022.2152144</v>
          </cell>
          <cell r="C189" t="str">
            <v>"ABSTRACT Benzo(a)pyrene (BaP) is a polycyclic hydrocarbon with carcinogenic and DNA damaging properties. Curcumin, primary yellow pigment in turmeric, has a wide range of biological, pharmacological properties in addition to being a powerful antioxidant. The aim of this study was to investigate protective effects of curcumin against benzo(a)pyrene damage in rat kidney. Thirty-six male Wistar albino rats were divided into six groups (n = 6) as: control, corn oil, Dimethyl sulfoxide (DMSO), BaP (10 mg/kg/day), Curcumin (100 mg/kg/day), Curcumin+BaP (100 mg/kg/day+10 mg/kg/day). Agents were daily and orally administered for six weeks. Kidney tissues were removed and examined ultrastructurally. Glomerular and tubular structures in control, corn oil, and DMSO groups demonstrated normal features. Glomerular capillary dilation, thickening, and folding of basement membrane and disruption of organelle contents were distinguished in BaP group. Deletion of podocyte cell and pedicels also sponge-like appearance of glomerular surface were remarkable in this group. Tissue components were protected in curcumin treated group. Proximal tubules and glomerular basement membrane exhibited normal features in Curcumin+BaP group. The abnormalities that accompanied BaP administration clearly revealed the detrimental effects of this agent. Therefore, this study provided substantial evidence that curcumin protects against benzo(a)pyrene nephrotoxicity."</v>
          </cell>
          <cell r="E189" t="str">
            <v>MICROSCOPY|PATHOLOGY</v>
          </cell>
          <cell r="F189" t="str">
            <v>Curcumin,benzo (a) pyrene,kidney,nephrotoxicity,ultrastructure,rat</v>
          </cell>
          <cell r="H189" t="str">
            <v>Q4</v>
          </cell>
        </row>
        <row r="190">
          <cell r="B190" t="str">
            <v>10.1080/01919512.2022.2065242</v>
          </cell>
          <cell r="C190" t="str">
            <v>"ABSTRACT The key objective of this review is to summarize the available information on the effects of medical ozone therapy in COVID-19 and its therapeutic potentials. An electronic literature search was performed using the PubMed, Cochrane, Web of Science, Science Direct, Scopus, Google Scholar, Ovid Medline, J Stage and China Knowledge Resource Integrated (CNKI) databases to September 2021. In total, 1833 articles were identified. Twenty-six articles were selected out of 667 articles. The most preferred and effective administration method for COVID-19 is major autohemotherapy (MAHT), followed by rectal insufflation and minor autohemotherapy (MiAHT). However, other methods, including ozonized oils and ozonated saline, are also used for COVID-19 due to ease of application, prophylactic and therapeutic effects. In studies, 850 patients were treated with ozone therapy as a complementary treatment. The effectiveness of ozone concentrations below 20 Î¼g/mL or above 45 Î¼g/mL for MAHT are yet to be proven in the COVID-19 patient population, and may be less effective. Complementary ozone therapy combined with antivirals increase the activity of antivirals against COVID-19. Large-scale, multicenter randomized clinical trials are needed to be able to isolate the effect of ozone therapy where the clinical variables are distributed more homogeneously. Also, an extended period of follow-up of COVID-19 patients may give more accurate indications about the effectiveness of the treatment in the long term."</v>
          </cell>
          <cell r="E190" t="str">
            <v>ENGINEERING, ENVIRONMENTAL|ENVIRONMENTAL SCIENCES</v>
          </cell>
          <cell r="F190" t="str">
            <v>COVID-19,Ozone,Ozone therapy,Ozone treatment,SARS-CoV-2</v>
          </cell>
          <cell r="H190" t="str">
            <v>Q3</v>
          </cell>
        </row>
        <row r="191">
          <cell r="B191" t="str">
            <v>10.1080/01956051.2020.1769018</v>
          </cell>
          <cell r="C191" t="str">
            <v>"ABSTRACT: Turkish television has undergone a transformation in recent decades due to the rising global popularity of Turkish series; the proliferation of viewership; and the introduction of cable, digital, online, and OTT (over-the-top) platforms. The result has been increasingly higher-quality TV content. This article traces the history of Turkish television with a look at how the Turkish television-series market has evolved into one which produces globally marketed content and how the discourses on quality TV informed such developments. The article also demarcates the history of television in Turkey into three different phases by underlining major changes and by proposing a novel periodization. Then, the contemporary rendering of â€œqualityâ€ is illustrated through a six-season-long, hit crime drama series, SÄ±fÄ±r Bir: Bir Zamanlar Adanaâ€™da (Zero One: Once Upon a Time in Adana, 2016â€“2019). The article argues that while the first two seasons of the series illustrate an independent, low-budget Web production based on a true story, after a transitional third season, the final three seasons feature an institutionalized â€œqualityâ€ drama on a national OTT platform at the expense of its earlier authenticity and naturalism."</v>
          </cell>
          <cell r="E191" t="str">
            <v>FILM, RADIO, TELEVISION</v>
          </cell>
          <cell r="F191" t="str">
            <v>OTT platforms,quality TV,Sifir Bir,Turkish television history,Turkish TV series,Web series</v>
          </cell>
          <cell r="H191" t="str">
            <v>Q1</v>
          </cell>
        </row>
        <row r="192">
          <cell r="B192" t="str">
            <v>10.1080/02331934.2022.2069024</v>
          </cell>
          <cell r="C192" t="str">
            <v>"A new game theoretical approach is proposed to build near-optimal solutions of the social planner in the context of economics. In this regard, one target two-player pursuit-evasion game is designed under complete information where each player's strategy is determined by the dynamics of the optimization problem. The game starts with the move of the evader who aims to follow the optimal policy of the social planner and he is chased by the pursuer whose purpose is to capture his opponent within his target region after a finite number of moves. A novel meta-heuristic approach is developed to design a discrete control model which determines each player's course of action by means of a finite set. Capturing scenarios of the pursuer are provided by designing his finite sets according to the given target range. Numerical experiments are performed in the simple case where the proposed model is compared with grey wolf optimizer through numerical simulations. Here, it is seen that the new model is more effective and accurate which requires less computation and fewer iterations to construct near-optimal solutions. Moreover, the proposed method becomes more powerful for converging to the optimal cost of the problem when the optimal solution is finite."</v>
          </cell>
          <cell r="E192" t="str">
            <v>MATHEMATICS, APPLIED|OPERATIONS RESEARCH &amp; MANAGEMENT SCIENCE</v>
          </cell>
          <cell r="F192" t="str">
            <v>Two-player game,one target,social planner,discrete,grey wolf optimizer</v>
          </cell>
          <cell r="H192" t="str">
            <v>Q3</v>
          </cell>
        </row>
        <row r="193">
          <cell r="B193" t="str">
            <v>10.1080/02635143.2023.2260996</v>
          </cell>
          <cell r="C193" t="str">
            <v>"ABSTRACT Background and Purpose As a response to the need for effective engineering integration in K-12 science classrooms, teachers should be supported with rich professional development (PD) with diverse components (e.g. curriculum material support). Grounded in the framework for quality K-12 engineering education, this study explores how elementary science teachers integrated engineering into science lessons after participating in PD and the nature of engineering integration with additional curriculum material support (CMS). Design/Method In this single-case study with multiple embedded units of analysis, three teachersâ€™ 79 classroom video recordings were analyzed using the Classroom Observation Protocol for Engineering Design with the engineering design process and engineering habits of mind components. Findings Analysis showed that teachers spent time on each design component in both PD Year and CMS Year, with an increase for at least half of the components in the CMS Year. Across all the observations in both years, the most common engineering design process component was researching possible solutions to the engineering challenge. Compared to the PD Year, teachersâ€™ engineering habits of mind integration improved greatly in the CMS Year. Regarding engineering design and science concepts integration, observations became more balanced, moving away from the independent ends of the continuum in the CMS Year. Conclusions Long-term PD was effective in supporting teachersâ€™ integration of engineering design components. Providing CMS had the greatest impact on the integration of engineering habits of mind components. Along with PD, curriculum support with explicit indication of how and when to incorporate engineering with habits of mind components was beneficial for teachers."</v>
          </cell>
          <cell r="E193" t="str">
            <v>EDUCATION &amp; EDUCATIONAL RESEARCH</v>
          </cell>
          <cell r="F193" t="str">
            <v>Integrated STEM education,engineering integration,professional development,curriculum material support</v>
          </cell>
          <cell r="H193" t="str">
            <v>Q4</v>
          </cell>
        </row>
        <row r="194">
          <cell r="B194" t="str">
            <v>10.1080/02688697.2020.1759779</v>
          </cell>
          <cell r="C194" t="str">
            <v>"Abstract Background Radiation exposure is a known risk factor for meningioma but there are no data regarding hemangiopericytoma and radiation exposure. Case Description We report a 29-year-old pineoblastoma patient diagnosed with a hemangiopericytoma at a different location, after a successful surgical excision and adjuvant radiotherapy for the original tumor 4-year prior. Conclusion Hemangiopericytoma emergence can be seen after radiotherapy."</v>
          </cell>
          <cell r="E194" t="str">
            <v>CLINICAL NEUROLOGY|SURGERY</v>
          </cell>
          <cell r="F194" t="str">
            <v>Hemangiopericytoma,radiation treatment,pineoblastoma</v>
          </cell>
          <cell r="H194" t="str">
            <v>Q4</v>
          </cell>
        </row>
        <row r="195">
          <cell r="B195" t="str">
            <v>10.1080/02688697.2020.1783434</v>
          </cell>
          <cell r="C195" t="str">
            <v>"Abstract Background Low back pain (LBP) may originate from different sources such as intervertebral disc degeneration (IVDD), end-plate and paraspinal muscle changes. Our aim is to explore the relevance of paraspinal musclesâ€™ fat-infiltration in women with LBP and its association with IVDD and Modic changes. Methods Consecutive female patients presenting with chronic LBP to the outpatient clinics were included. Patients were evaluated in terms of IVDD, vertebral end-plate changes, and fatty infiltration in the paraspinal muscles at all lumbar levels on lumbar spine magnetic resonance imaging (MRI). Visual Analogue Scale (VAS) scores were recorded using our prospectively collected database. Results Patients with higher VAS scores were significantly more likely to have more fatty infiltration in the multifidus and less fatty infiltration in the psoas at L4-L5 level when compared to those with lower VAS scores (69.1 vs. 31.8%, pâ€‰=â€‰0.003). To predict LBP, fatty infiltration in the multifidus and psoas had odds ratio (OR) of 4 ( pâ€‰=â€‰0.010), and 0.3 ( pâ€‰=â€‰0.013), respectively; whereas disc degeneration had an OR of 0.5 ( pâ€‰=â€‰0.028). Conclusion This is the first clinical cross-sectional study suggested that women with chronic low back pain could have less fat-infiltrated psoas to compensate more fat-infiltrated multifidus at L4-L5 disc level."</v>
          </cell>
          <cell r="E195" t="str">
            <v>CLINICAL NEUROLOGY|SURGERY</v>
          </cell>
          <cell r="F195" t="str">
            <v>Disc degeneration,multifidus,psoas,low back pain</v>
          </cell>
          <cell r="H195" t="str">
            <v>Q4</v>
          </cell>
        </row>
        <row r="196">
          <cell r="B196" t="str">
            <v>10.1080/02688697.2020.1787342</v>
          </cell>
          <cell r="C196" t="str">
            <v>"Abstract We describe a COVID-19 patient who presented with persistent headache and anosmia that was related to viral encephalomyelitis with acute lesions on MRI in both the brain and upper cervical cord."</v>
          </cell>
          <cell r="E196" t="str">
            <v>CLINICAL NEUROLOGY|SURGERY</v>
          </cell>
          <cell r="F196" t="str">
            <v>Covid-19,encephalomyelitis,differential diagnosis,magnetic resonance imaging</v>
          </cell>
          <cell r="H196" t="str">
            <v>Q4</v>
          </cell>
        </row>
        <row r="197">
          <cell r="B197" t="str">
            <v>10.1080/02688697.2021.1914818</v>
          </cell>
          <cell r="C197" t="str">
            <v>"Abstract Purpose We describe our experience with management of basilar invagination (BI) with the atlantoaxial dislocation (C1/C2) joint reduction technique, including posterior atlantoaxial internal fixation. Materials and methods From 2008 to 2018, eleven patients with atlantoaxial dislocation (AAD) and BI underwent surgical reduction using C1/C2 the joint reduction technique with a fibular graft/peek cage placement followed by C1 lateral mass/C2 pedicle screw fixation. In two cases that we originally planned to perform C1/C2 joint reduction, occiput-C2 pedicle screw fixation was performed instead due to intraoperative challenges. Post-operative course and surgical complications will be discussed. Results A total of 13 patients, with an average age of 30.46â€‰Â±â€‰13.23 years (range 12â€“57), were operated. In one patient, iatrogenic vertebral artery injury occurred without any neurological complication. JOA score improved from 10.45â€‰Â±â€‰1.128 to 15.0â€‰Â±â€‰1.949 (pâ€‰&lt;â€‰0.0001, paired t-test). All radiological indices were improved (p at least &lt; 0.001). No construct failure was seen in any of the patients with C1-2 facet joint distraction technique during follow-up, and no additional anterior decompression surgery was required. Conclusions C1/C2 joint reduction technique with fibular graft/cervical PEEK cage of BI patients together with AAD seems to be an effective and safe surgical method of treatment."</v>
          </cell>
          <cell r="E197" t="str">
            <v>CLINICAL NEUROLOGY|SURGERY</v>
          </cell>
          <cell r="F197" t="str">
            <v>Atlantoaxial,basilar invagination,distraction,vertebral artery injury</v>
          </cell>
          <cell r="H197" t="str">
            <v>Q4</v>
          </cell>
        </row>
        <row r="198">
          <cell r="B198" t="str">
            <v>10.1080/02770903.2021.1999470</v>
          </cell>
          <cell r="C198" t="str">
            <v>"Abstract Objective The aim of this study is to review the effects of high-intensity interval training (HIIT)/sprint interval training (SIT) on asthma symptoms, cardiorespiratory functions, and other variables among asthmatic patients. Data sources Randomized controlled trials published between January 2000 and January 2021 were searched in PubMed/MEDLINE, Web of Science, and Cochrane Library databases. Study selections Following pre-specified inclusion criteria, this review included 7 randomized controlled studies that compare HIIT/SIT as an intervention with any other intervention and/or control group. Results Of the included studies only four reported the chronic phase effects of the HIIT/SIT protocols. HIIT and SIT protocols applied in studies differ. HIIT improved forced expiratory volume in 1â€‰s (FEV1) in the acute phase and maximal oxygen consumption (VO2max) in the chronic phase in the asthmatic patients (pâ€‰&lt;â€‰0.05). Conclusion To our knowledge, our systematic review is the first study evaluating the effects of HIIT/SIT protocols on asthma patients. HIIT/SIT protocols have beneficial effects on asthma patients. In order to better understand the results of these training procedures, studies that will be designed with high methodology are needed."</v>
          </cell>
          <cell r="E198" t="str">
            <v>ALLERGY|RESPIRATORY SYSTEM</v>
          </cell>
          <cell r="F198" t="str">
            <v>Exercise,acute,chronic,FEV1,VO2max</v>
          </cell>
          <cell r="H198" t="str">
            <v>Q4</v>
          </cell>
        </row>
        <row r="199">
          <cell r="B199" t="str">
            <v>10.1080/03004279.2021.1929380</v>
          </cell>
          <cell r="C199" t="str">
            <v>"ABSTRACT Gifted students have unique characteristics and these characteristics influence their learning styles and dispositions towards learning. The purpose of this study is to examine gifted studentsâ€™ learning styles and to understand how gifted students articulate learning. In this convergent parallel mixed methods study, 106 (nâ€‰=â€‰106) students attending the third, fourth and fifth grades were selected as participants. The study was carried out with gifted students who are attaining in science and art centres in Turkey. The data was gathered through The Kolb Learning Style Inventory and focus group interviews. Findings of study indicated that the participants were mainly divergers and convergers. Their learning styles did not significantly dependent on their gender, age and school type. In addition, they referred to social interaction, self-discovery, social responsibility and transfer of knowledge as their learning attributes. Their learning motives were inspired by an effective learning environment, interaction and the sense of accomplishment in the learning process. Lastly, they adopted certain learning strategies such as encoding and storage in the learning process."</v>
          </cell>
          <cell r="E199" t="str">
            <v>EDUCATION &amp; EDUCATIONAL RESEARCH</v>
          </cell>
          <cell r="F199" t="str">
            <v>Gifted students,learning styles,learning dispositions,Kolb learning style inventory</v>
          </cell>
          <cell r="H199" t="str">
            <v>Q3</v>
          </cell>
        </row>
        <row r="200">
          <cell r="B200" t="str">
            <v>10.1080/03004430.2019.1613650</v>
          </cell>
          <cell r="C200" t="str">
            <v>"ABSTRACT The primary objective of this study is to determine the predictive effect of emotional regulation strategies of 5â€“6-year-old children on their levels of resiliency. The sample group of the study consisted of 77 5â€“6-year-old children (38 (49.4%) girls; 39 (50.6%) boys) receiving education at kindergartens in Turkey. The data required for the study were obtained from children, teachers, and mothers. â€˜The Scale of Emotion Regulation Strategiesâ€™, â€˜Childrenâ€™s Ego Resiliency Scaleâ€™ and â€˜The Personal Information Formâ€™ were used. The results revealed that the emotional regulation strategies had predictive effects on the levels of resiliency."</v>
          </cell>
          <cell r="E200" t="str">
            <v>EDUCATION &amp; EDUCATIONAL RESEARCH|PSYCHOLOGY, DEVELOPMENTAL</v>
          </cell>
          <cell r="F200" t="str">
            <v>Emotional regulation strategies,resiliency,young children</v>
          </cell>
          <cell r="H200" t="str">
            <v>Q4</v>
          </cell>
        </row>
        <row r="201">
          <cell r="B201" t="str">
            <v>10.1080/03007995.2021.1994379</v>
          </cell>
          <cell r="C201" t="str">
            <v>"Abstract Introduction Intradiscal vacuum phenomenon (IVP) is the collection of gas within the intervertebral discs. It has been reported with various spinal disorders. The exact role of IVP in spinal degeneration leading to low back pain (LBP) is unclear. We aimed to obtain the prevalence of IVP in patients with LBP. Our second aim was to understand whether IVP was associated with intervertebral disc degeneration (IVDD), Modic changes, and subchondral sclerosis (SS). Methods A total of 12.450 consecutive patients with chronic LBP were evaluated in terms of having abdominal computed tomography (CT) scan concomitant with lumbar spine magnetic resonance imaging (MRI) using radiological database of three spine centers. We excluded the patients with a history of malignancy, metabolic disease, spinal infection, traumatic or osteoporotic spine fracture, and spine surgery. All lumbar levels were evaluated in terms of IVDD and Modic changes on MRI, while they were evaluated in terms of IVP and SS on CT scans. Results We included 219 patients. Severe IVDD, Modic changes, IVP, and SS were seen in 53.9% (n: 118), 38.8% (n: 85), 26.5% (n: 58), and 16% (n: 35) of the patients, respectively. Intradiscal vacuum phenomenon was closely associated with severe IVDD (OR: 8.204), Modic changes (OR: 3.547) and SS (OR: 4.231). Discussion Intradiscal vacuum phenomenon was closely associated with severe IVDD, Modic changes, and SS. Further prospective clinical and laboratory studies are necessary to better delineate the pathogenesis of IVP."</v>
          </cell>
          <cell r="E201" t="str">
            <v>MEDICINE, GENERAL &amp; INTERNAL|MEDICINE, RESEARCH &amp; EXPERIMENTAL</v>
          </cell>
          <cell r="F201" t="str">
            <v>Vacuum phenomenon,disc degeneration,Modic change,subchondral sclerosis,low back pain</v>
          </cell>
          <cell r="H201" t="str">
            <v>Q3</v>
          </cell>
        </row>
        <row r="202">
          <cell r="B202" t="str">
            <v>10.1080/03007995.2023.2282646</v>
          </cell>
          <cell r="C202" t="str">
            <v>"Abstract Background Mechanical and inflammatory factors were suggested as the causes of spine degeneration and low back pain (LBP). Previous studies partly reported the association of LBP with inflammation. However, none of them compared patients with LBP and asymptomatic subjects in terms of complete blood count and inflammatory markers in detail. We aimed to analyze the association of serum white blood cell (WBC) count, C-reactive protein (CRP), and erythrocyte sedimentation rate (ESR) with chronic LBP by comparing the patients with chronic LBP and age- and gender-matched asymptomatic subjects. Methods Lumbar intervertebral disc degeneration and vertebral end-plates were evaluated using Pfirrmann grading and Modic classification on lumbar spine magnetic resonance images, respectively. Serum WBC counts, CRP levels, and ESRs were recorded from chart reviews. Results We included 147 patients with chronic LBP and 101 asymptomatic subjects. Patients with chronic LBP had significantly higher serum neutrophil, monocyte, and basophil counts, higher neutrophil-to-lymphocyte ratio, higher ESR, and lower serum CRP levels compared to the asymptomatic subjects. Serum monocyte and basophil cell counts and ESR were the most remarkable predictive factors for chronic LBP, severe IVDD, and Modic changes. Higher serum monocyte and basophil cell counts and higher serum ESR above cut-off values of 0.42â€‰Ã—â€‰103/Î¼L, 0.025â€‰Ã—â€‰103/Î¼L, and 3.5â€‰mm/hour could be used as screening tools for subjects with persistent LBP in primary care. Discussion Higher serum monocyte and basophil counts and serum ESR above new cut-off values should highlight the need to obtain early spinal imaging to prevent chronicity in patients with LBP."</v>
          </cell>
          <cell r="E202" t="str">
            <v>MEDICINE, GENERAL &amp; INTERNAL|MEDICINE, RESEARCH &amp; EXPERIMENTAL</v>
          </cell>
          <cell r="F202" t="str">
            <v>Low back pain,disc degeneration,end-plate,spine,inflammation</v>
          </cell>
          <cell r="H202" t="str">
            <v>Q3</v>
          </cell>
        </row>
        <row r="203">
          <cell r="B203" t="str">
            <v>10.1080/03069885.2023.2177615</v>
          </cell>
          <cell r="C203" t="str">
            <v>"ABSTRACT We examined the effects of a five-week psychoeducational programme based on the Career Sailboat model on career decision-making self-efficacy levels of Turkish university students in their job-seeking phase. Twenty-six university students were assigned to one of three groups: experimental group (EG) (nâ€‰=â€‰9), the placebo group (PG) (nâ€‰=â€‰7) and the control group (CG) (nâ€‰=â€‰10). The EG post-test scores were higher than that of the CG but not higher than that of the PG. Pre-test vs. post-test paired comparisons indicated a significant increase in career decision-making self-efficacy level only for the EG group. The use of a quantitative paradigm, specifically an experimental design, was supplemented by soliciting qualitative data as well. The findings based on the qualitative data support the quantitative findings."</v>
          </cell>
          <cell r="E203" t="str">
            <v>PSYCHOLOGY, APPLIED</v>
          </cell>
          <cell r="F203" t="str">
            <v>Career decision-making self-efficacy,career indecision,Career Sailboat model,career counselling,psychoeducational programme,group intervention</v>
          </cell>
          <cell r="H203" t="str">
            <v>Q4</v>
          </cell>
        </row>
        <row r="204">
          <cell r="B204" t="str">
            <v>10.1080/07053436.2022.2097382</v>
          </cell>
          <cell r="C204" t="str">
            <v>"Dans les Ã©tudes de loisir, la lecture est gÃ©nÃ©ralement considÃ©rÃ©e comme une activitÃ© pratiquÃ©e personnellement. Parfois, grÃ¢ce aux pratiques des lecteurs, elle sort de la sphÃ¨re personnelle de lâ€™individu et devient une activitÃ© plutÃ´t partagÃ©e. Cet article se centre sur la sÃ©rie Harry Potter et interroge dans quelles mesures la lecture de la sÃ©rie Harry Potter Ã  lâ€™Ã¢ge de lâ€™adolescence engendre dâ€™autres loisirs partagÃ©s. Il constate les sociabilitÃ©s crÃ©Ã©es autour de cette sÃ©rie littÃ©raire en soulignant diffÃ©rentes dÃ©clinaisons de partage dâ€™expÃ©rience des lecteurs. Dans cette recherche, le point de vue de la sociologie de la rÃ©ception est appliquÃ© aux Ã©tudes de loisir et une recherche qualitative est rÃ©alisÃ©e auprÃ¨s des lecteurs de Harry Potter en Turquie. Les rÃ©sultats montrent que la lecture de cette sÃ©rie devient un outil pour crÃ©er trois types de sociabilitÃ© : amicale, familiale et numÃ©rique. Ainsi, le partage dâ€™expÃ©rience devient une signifiance de lecture."</v>
          </cell>
          <cell r="E204" t="str">
            <v>HOSPITALITY, LEISURE, SPORT &amp; TOURISM</v>
          </cell>
          <cell r="F204" t="str">
            <v>leisure reading,Harry Potter series,sociology of reception,sociability</v>
          </cell>
          <cell r="H204" t="str">
            <v>Q4</v>
          </cell>
        </row>
        <row r="205">
          <cell r="B205" t="str">
            <v>10.1080/07357907.2021.2017952</v>
          </cell>
          <cell r="C205" t="str">
            <v>"Abstract Purpose This study evaluated the efficacy and safety of everolimus (EVE) plus exemestane (EXE) in hormone-receptor positive (HR+), human epidermal growth factor receptor-2-negative (HER2âˆ’) metastatic breast cancer (MBC) patients in real-life settings. Methods Overall, 204â€‰HR+, HER2âˆ’ MBC patients treated with EVEâ€‰+â€‰EXE after progressing following prior endocrine treatment were included. Overall survival (OS) and progression-free survival (PFS) and safety data were analyzed. Results The objective response rate, median PFS, and median OS were 33.4%, 8.9â€‰months, and 23.4â€‰months, respectively. Multivariate analysis revealed that negative progesterone receptor status was a significant determinant of poor treatment response (pâ€‰=â€‰0.035) and PFS (pâ€‰=â€‰0.024). The presence of bone-only metastasis was associated with better treatment response (pâ€‰=â€‰0.002), PFS (pâ€‰&lt;â€‰0.001), and OS (pâ€‰=â€‰0.001). Conclusion We confirmed the favorable efficacy and safety profile of EVEâ€‰+â€‰EXE for HR+, HERâ€‰âˆ’â€‰MBC patients."</v>
          </cell>
          <cell r="E205" t="str">
            <v>ONCOLOGY</v>
          </cell>
          <cell r="F205" t="str">
            <v>Everolimus,exemestane,metastatic breast cancer,hormone receptor-positive,HER - negative,efficacy</v>
          </cell>
          <cell r="H205" t="str">
            <v>Q4</v>
          </cell>
        </row>
        <row r="206">
          <cell r="B206" t="str">
            <v>10.1080/07373937.2020.1848858</v>
          </cell>
          <cell r="C206" t="str">
            <v>"Abstract Conventional drying technologies generally rely on drying processes driven by using hot air, where these processes have significantly high energy consumption and greenhouse gas emissions. With our knowledge based on the limited nature of fossil fuels and the impact of climate change, it is clear that every technology has to be cleaner, cheaper, and more efficient to limit our carbon footprint while maintaining sustainable development. In this regard, the present study comprehensively reviews the recent advances in drying technologies and energy consumption and the efficiency and economic performances of several alternative drying technologies. The reviewed drying technologies include adsorption mediated, agitated thin film, electrotechnologies, hybrid systems, impingement, heat pumps, microwave, ohmic-heating, refractance window, rotating drum, superheated steam, and vacuum. The selected performance criteria are final heat use, final electricity use, primary energy use, thermal and energy efficiencies, and operating cost. With these criteria taken into account, the results show that the refractance window has the highest sustainability ranking (8.28/10), and superheated steam has the lowest sustainability ranking (2.90/10). Besides, the sustainability of the different drying fuels and technologies is conducted, and the results show that renewables have the highest sustainability ranking. Besides, it is seen that some novel approaches in drying, such as solar-based hybrid drying systems and refractance window drying, are amongst the most promising sustainable technologies. They could be the key to clean, affordable, reliable, and efficient drying of different kinds of products in industrial processes."</v>
          </cell>
          <cell r="E206" t="str">
            <v>ENGINEERING, CHEMICAL|ENGINEERING, MECHANICAL</v>
          </cell>
          <cell r="F206" t="str">
            <v>Drying,efficiency,energy,cost,environmental impact,hybrid drying,renewable energy,sustainability</v>
          </cell>
          <cell r="H206" t="str">
            <v>Q2</v>
          </cell>
        </row>
        <row r="207">
          <cell r="B207" t="str">
            <v>10.1080/07391102.2020.1715262</v>
          </cell>
          <cell r="C207" t="str">
            <v>"Abstract One of the important molecular targets for antitumor drug discovery is the polyadenosine diphosphate-ribose polymerase-1 (PARP1) enzyme. It is linked with various biological functions including DNA repair and apoptosis. It is primarily a nuclear enzyme linked to chromatin, which is activated by DNA damage. Improved expression of PARP1 in melanomas, breast cancer, lung cancer and other neoplastic diseases is often observed. A tremendous PARP research concerning cancer and ischemia is progressing very rapidly. There are currently four PARP1 inhibitors approved by the FDA on the market, namely Olaparib, Rucaparib, Niraparib and Talazoparib. All of these molecules are non-selective inhibitors of PARP1. Currently there is an urgent need for novel and selective PARP1 inhibitors. In this work, asmall molecule database (Specs SC) were used to identify the new selective lead inhibitors of PARP1. Piperazine scaffold is an important fragment that is used in many currently used FDA approved drugs in different diseases including PARP1 inhibitor Olaparib. Thus, based on text mining studies, 4674 compounds thatinclude piperazine fragments were identified and virtually screened at the binding pocket of target protein PARP1. Compounds that have high docking scores were used in molecular dynamics (MD) simulations. Free energy calculations were also performed to compare the predicted binding energies with known PARP1 inhibitors. The critical amino acid interactions of these newly identified hits in the binding pocket were also investigated in detail for better understanding of the structural features required for next generation PARP1 inhibitors. Thus, here together with combination of text-mining and integrated molecular modeling approaches, we identified novel piperazine-based hits against PARP1 enzyme. Communicated by Ramaswamy H. Sarma"</v>
          </cell>
          <cell r="E207" t="str">
            <v>BIOCHEMISTRY &amp; MOLECULAR BIOLOGY|BIOPHYSICS</v>
          </cell>
          <cell r="F207" t="str">
            <v>PARP1 inhibitors,virtual screening,text mining,molecular docking,molecular dynamics simulations,piperazine-derivatives</v>
          </cell>
          <cell r="H207" t="str">
            <v>Q2</v>
          </cell>
        </row>
        <row r="208">
          <cell r="B208" t="str">
            <v>10.1080/07391102.2020.1775121</v>
          </cell>
          <cell r="C208" t="str">
            <v>"Abstract Human immunodeficiency virus type 1 protease (HIV-1 PR) inhibitors have been used as possible therapeutic agents for HIV-1 infection in clinical study. Most of the HIV therapy-related problems usually stem from long-term opioid usage. The rapid development of drug-resistant variants limits the long-term effectiveness of current inhibitors as therapeutic agents. In addition, different side effects were reported. Further drug development is required to design new compounds which have similar efficacy as the drugs currently used in HIV infection but without having undesirable side effects. Indole derivatives were considered as one of the effective HIV inhibitors. Indole is an important fragment used in many FDAapproved medicines and used in various diseases. For this purpose, in this study the molecules containingâ€ indoleâ€ keywords in their fragments are taken from the Specs-SC database which includes 212520 small molecules. 5194 molecules that include indole keywords are selected. These selected molecules are then screened against HIV-1 PR target protein using molecular docking simulations. Then the molecules are ranked according to the their docking scores. Top docking poses of ten ligands and FDA approved drug Amprenavir are subjected to 100â€‰ns Molecular Dynamics (MD) simulations. Thus, by using combination of text mining and integrated molecular modeling approaches, we identified novel indole-based hits against HIV-1 PR. Communicated by Ramaswamy H. Sarma"</v>
          </cell>
          <cell r="E208" t="str">
            <v>BIOCHEMISTRY &amp; MOLECULAR BIOLOGY|BIOPHYSICS</v>
          </cell>
          <cell r="F208" t="str">
            <v>HIV protease,virtual screening,text mining,molecular docking simulations,molecular dynamics simulations,indoles</v>
          </cell>
          <cell r="H208" t="str">
            <v>Q2</v>
          </cell>
        </row>
        <row r="209">
          <cell r="B209" t="str">
            <v>10.1080/07391102.2020.1827038</v>
          </cell>
          <cell r="C209" t="str">
            <v>"Abstract Cardiovascular diseases are the worldâ€™s leading cause of death. Hypertension is an important risk factor for cardiovascular and renal diseases. Angiotensin-converting enzyme (ACE) can be a possible therapeutic target for managing angiotensin I conversion to angiotensin II and ultimately controlling hypertension. Indole is an significant fragment used in many medicines approved by FDA. For this reason, the molecules in their fragments containingâ€ indolâ€ keywords were taken from the Specs-SC (small compound) database. The predicted therapeutc activity values (TAV) of these compounds against hypertension were evaluated using binary models of QSAR by MetaCore/MetaDrug. For the 26 separate QSAR models of toxicity, molecules with measured TAV greater than 0.5 were used. 3792 non-toxic compounds were investigated by molecular docking study and molecular dynamics simulations for their ACE inhibitory activity. Glide standard precision (SP) of Maestro Molecular Modeling pocket was used to perform molecular docking. Short molecular dynamics (MD) simulations (5-ns) were carried out by initiating the top docking poses of selected 40 molecules. To quantitatively evaluate the predicted binding affinity of a screened compound, average MM/GBSA scores of screened ligands were calculated and based on their binding free energy values, hit compounds were identified for the long (100-ns) MD simulations. Root mean square deviation and root mean square fluctuations were also calculated to assess the structural characteristics and observe fluctuations of the 100-ns time scale. Thus, with the application of text mining and integrated molecular modeling we reported novel indole-based hit inhibitors for ACE-1. Communicated by Ramaswamy H. Sarma"</v>
          </cell>
          <cell r="E209" t="str">
            <v>BIOCHEMISTRY &amp; MOLECULAR BIOLOGY|BIOPHYSICS</v>
          </cell>
          <cell r="F209" t="str">
            <v>ACE-1,hypertension,indoles,molecular docking simulations,molecular dynamics simulations,virtual screening,text mining</v>
          </cell>
          <cell r="H209" t="str">
            <v>Q2</v>
          </cell>
        </row>
        <row r="210">
          <cell r="B210" t="str">
            <v>10.1080/07391102.2022.2111360</v>
          </cell>
          <cell r="C210" t="str">
            <v>"Abstract Since Schiff base derivatives have a wide range of biological activities, novel Schiff base derivatives were designed and synthesized in satisfactory yields. 1H NMR, 13C NMR, IR, mass and elemental analysis were used to provide a complete structural characterization of the new synthesized Schiff bases (3â€“6). The antiproliferative activity properties of compounds were tested against two human cancer cell lines including breast (MDA-MB-231) and colon (DLD-1). The compounds overall did not show high cytotoxic activity against both cancer cell lines compared to the positive control drug cisplatin. The synthesized Schiff base compounds were further screened for their in vitro antimicrobial activities against five bacterial strains (Escherichia coli (ATTC 25922), Salmonella thyphimurium (ATTC 14028), Staphylococcus aureus (ATCC 25923), Bacillus subtilis (ATCC 6633), Bacillus cereus (ATCC 11778)) and two fungal strains (Candida albicans (ATCC 10231) and Candida glabrata (ATCC 90030)) using broth micro dilution techniques. The mode of action for the antimicrobial effect in the experimental part was explored through molecular docking. The stability of target-ligand complexes obtained from the docking were assessed through molecular dynamics simulation. The binding affinity of the compounds toward the target protein were also investigated using MMPBSA. Furthermore, electrochemical properties of some compounds was analyzed by DFT calculations. By using POM theory, it becomes more easy to control the bioactivity of drugs. Here, how the physicochemical properties play a crucial role in the orientation of their bioactivity was demonstrated. Communicated by Ramaswamy H. Sarma"</v>
          </cell>
          <cell r="E210" t="str">
            <v>BIOCHEMISTRY &amp; MOLECULAR BIOLOGY|BIOPHYSICS</v>
          </cell>
          <cell r="F210" t="str">
            <v>Antimicrobial activity,cytotoxic activity,DFT,docking,molecular dynamics simulation,pyrimidine,POM (Petra,Osiris,Molinspiration) analyses,pharmacophore sites identification,Schiff bases</v>
          </cell>
          <cell r="H210" t="str">
            <v>Q2</v>
          </cell>
        </row>
        <row r="211">
          <cell r="B211" t="str">
            <v>10.1080/07391102.2023.2169765</v>
          </cell>
          <cell r="C211" t="str">
            <v>"Abstract Nowadays, different vaccines and antiviral drugs have been developed and their effectiveness has been proven against SARS-CoV-2. Pyrazoline derivatives are biologically active molecules and exhibit broad-spectrum biological activity properties. In this scope, four new molecules (4aâ€“d) including a pyrazoline core were synthesized in order to predict their antiviral properties theoretically. Compounds 4aâ€“d were purified by the crystallization method. The structures of 4aâ€“d were completely characterized by NMR, IR, and elemental analysis. The molecular structures of the compounds in the ground state have been optimized using density functional theory with the B3LYP/6-31++G(d,p) level. The quantum chemical parameters were predicted by density functional theory calculations. Moreover, the molecular docking studies of 4aâ€“d with SARS-CoV-2 Spike protein (Wuhan) and omicron S protein (variant) were presented to investigate and predict potential interactions. The binding sites, binding types and energies, bond distances of the non-covalent interactions and calculated inhibition constants (calc. Ki) as a consequence of molecular docking for 4aâ€“d were presented in this study. Furthermore, the stability of the protein-4a complex obtained from the docking was investigated through molecular dynamics simulation. Communicated by Ramaswamy H. Sarma"</v>
          </cell>
          <cell r="E211" t="str">
            <v>BIOCHEMISTRY &amp; MOLECULAR BIOLOGY|BIOPHYSICS</v>
          </cell>
          <cell r="F211" t="str">
            <v>Density functional theory,molecular docking,pyrazoline,SARS-CoV-2</v>
          </cell>
          <cell r="H211" t="str">
            <v>Q2</v>
          </cell>
        </row>
        <row r="212">
          <cell r="B212" t="str">
            <v>10.1080/07391102.2023.2262601</v>
          </cell>
          <cell r="C212" t="str">
            <v>"Abstract Cancer is a global public health problem that affects millions each year. Novel anticancer drug candidates are in need to treat various cancers and to overcome the resistance that exists against drugs in use. Benzimidazole derivatives have been reported as anticancer agents. These lead us to synthesize similar benzimidazole derivatives and investigate their anticancer activity. In this study, six new 1,3-dihydro-2H-benzimidazol-2-one-based molecules (2a-f) were synthesized. The structures of these molecules were verified by spectroscopic methods. The antiproliferative activities of molecules 2a-f were screened against a panel of human cancer cell lines, including the liver, colon, lung, and breast. The molecules were also tested towards normal human lung cell line to determine their selectivity. The results demonstrated that compound 2d had the highest cytotoxic effect compared to compounds 2a-c, 2e, and 2f against DLD-1 and MDA-MB-231 cell lines. The binding potential of the relatively active compound, 2d, with three targets was investigated through molecular docking. The stability of target-compound complexes procured from the docking was explored through molecular dynamics (MD) simulation. The docking and MD simulation studies revealed that compound 2d had the highest potential to bind to GALR3 among the targets. Furthermore, the computational pharmacokinetic study demonstrated that the synthesized compounds had drug-like properties. Communicated by Ramaswamy H. Sarma"</v>
          </cell>
          <cell r="E212" t="str">
            <v>BIOCHEMISTRY &amp; MOLECULAR BIOLOGY|BIOPHYSICS</v>
          </cell>
          <cell r="F212" t="str">
            <v>Antiproliferative activity,benzimidazole,docking,MD simulation</v>
          </cell>
          <cell r="H212" t="str">
            <v>Q2</v>
          </cell>
        </row>
        <row r="213">
          <cell r="B213" t="str">
            <v>10.1080/08839514.2021.2014189</v>
          </cell>
          <cell r="C213" t="str">
            <v>"ABSTRACT The aim of this paper is to decide on heavy metal levels based on ecological parameters by effectively eliminating common disadvantages such as high cost and serious time-consuming laboratory procedures via an effective artificial intelligence approach. Therefore, this study is hinged on an artificial intelligence technique, ANN, because of its low cost and high accuracy in overcoming the mentioned limitations and obstacles in the determination process of the amounts of elements. The ANNs have thus been employed to determine essential heavy metals, such as Fe, Mn, and Zn depending on Ca, K, and Mg concentrations of soil samples obtained from different altitudes in Mount Ida. To the best knowledge of the authors, this is the first study in the literature in which altitude was considered as a parameter in the prediction of nutrient heavy metals. The computed relative errors are significantly low for each of the considered elements (Fe, Mn, and Zn); and are found to be between 1.0â€“4.1%, 1.0â€“4.2%, 1.5â€“7.1%, respectively, for the training, testing, and holdout data. The findings indicate that the relative errors could still be decreased further by assuming the altitude as a factor variable."</v>
          </cell>
          <cell r="E213" t="str">
            <v>COMPUTER SCIENCE, ARTIFICIAL INTELLIGENCE|ENGINEERING, ELECTRICAL &amp; ELECTRONIC</v>
          </cell>
          <cell r="H213" t="str">
            <v>Q2</v>
          </cell>
        </row>
        <row r="214">
          <cell r="B214" t="str">
            <v>10.1080/08841241.2021.1927933</v>
          </cell>
          <cell r="C214" t="str">
            <v>"ABSTRACT\n The purpose of this study is to understand the factors affecting a universityâ€™s image and studentsâ€™ supportive attitudes. To this end, we have developed a new model, named the 4Q Model. Previous studies have already proposed a number of factors affecting university image. However, in this study, we simplified the factors into four main titles which are quality of academics, quality of education, quality of research, and quality of physical conditions. Our model tests the influence of this â€˜4Qâ€™ on university image. We also examined the effect of university image on studentsâ€™ supportive attitudes. The model was validated through structural equation modelling based on surveys of 427 university students. The results show that quality of academics, quality of education, quality of research, and quality of physical conditions all have a positive impact on university image. In particular, the quality of research is the most important key driver impacting the university image. We also found that university image has a strong impact on studentsâ€™ supportive attitudes. Theoretical and managerial implications are also discussed as recommendations for future research."</v>
          </cell>
          <cell r="E214" t="str">
            <v>BUSINESS|EDUCATION &amp; EDUCATIONAL RESEARCH</v>
          </cell>
          <cell r="F214" t="str">
            <v>University image,supportive attitudes,4Q Model,quality of education</v>
          </cell>
          <cell r="H214" t="str">
            <v>Q3</v>
          </cell>
        </row>
        <row r="215">
          <cell r="B215" t="str">
            <v>10.1080/08841241.2021.1969489</v>
          </cell>
          <cell r="C215" t="str">
            <v>"ABSTRACT This study aims to develop a comprehensive HEI choice intention (CI) model to understand how social influence (SI), brand equity (BE), and HEI factors influence attitude toward HEI (HEIA) as well as how the HEI attitude is a mediator of the relationship of these variables with the HEI CI. Data collected from 1633 high school seniors via online questionnaires was analyzed using structural equation modelling. The findings show that HEI attitude fully mediates the relationship between SI and HEI fully on CI while partially mediating BEâ€™s relationship with CI. This study contributes to the theory by providing a model to measure HEI CI that reflects the important role of attitude during HEI choice. Findings also provide guidance to the practitioners in terms of suggesting marketing strategies to be competitive, especially in the new education outlook emerging from COVID19 experiences."</v>
          </cell>
          <cell r="E215" t="str">
            <v>BUSINESS|EDUCATION &amp; EDUCATIONAL RESEARCH</v>
          </cell>
          <cell r="F215" t="str">
            <v>Higher education,choice intention,social influence,brand equity,institutional attributes,attitude,consumer behavior</v>
          </cell>
          <cell r="H215" t="str">
            <v>Q3</v>
          </cell>
        </row>
        <row r="216">
          <cell r="B216" t="str">
            <v>10.1080/08869634.2021.1890454</v>
          </cell>
          <cell r="C216" t="str">
            <v>"ABSTRACT Objective To evaluate the relationship between sleep habits and sleep bruxism (SB) in schoolaged children. Methods Survey data were collected from the parents of 500 children (267 males and 233 females; age range 6â€“12 years). The American Academy of Sleep Medicine diagnostic criteria were used to evaluate SB. A Childrenâ€™s Sleep Habits Questionnaire was conducted to determine sleep habits. The chi-square test was used for statistical evaluation. Results SB was observed in 160 children (32%). SB awareness was 5.4%. The presence of SB in other family members, mothersâ€™ education â‰¤8 years, and income below minimum wage were found as family risk factors. The presence of sleep disorders was 61.4% and observed to be statistically higher in those with SB. Conclusion SB is a prevalent disorder that might be associated with sleep disorders. The parents of children with SB had inadequate knowledge and awareness pertaining to SB."</v>
          </cell>
          <cell r="E216" t="str">
            <v>DENTISTRY, ORAL SURGERY &amp; MEDICINE</v>
          </cell>
          <cell r="F216" t="str">
            <v>Sleep bruxism,sleep habits,school-aged children,sleep disorders,sleep survey,sleep hygiene</v>
          </cell>
          <cell r="H216" t="str">
            <v>Q4</v>
          </cell>
        </row>
        <row r="217">
          <cell r="B217" t="str">
            <v>10.1080/08874417.2020.1739579</v>
          </cell>
          <cell r="C217" t="str">
            <v>"ABSTRACT The article presents the results of a Systematic Literature Review (SLR) that has been carried out to identify and present the state-of-the-art of ERP systems, describe the obstacles of on-premise ERP systems, and provide general solutions to tackle these challenges. Based on this SLR, 22 obstacles are identified, the dependencies and interactions among these obstacles are described, and finally the corresponding solutions as described in the primary studies are discussed in detail. Our study shows that there is a general agreement on the obstacles of on-premise ERP systems and further research is needed to provide satisfactory solutions to the obstacles."</v>
          </cell>
          <cell r="E217" t="str">
            <v>COMPUTER SCIENCE, INFORMATION SYSTEMS</v>
          </cell>
          <cell r="F217" t="str">
            <v>Enterprise resource planning,systematic literature review,information systems</v>
          </cell>
          <cell r="H217" t="str">
            <v>Q3</v>
          </cell>
        </row>
        <row r="218">
          <cell r="B218" t="str">
            <v>10.1080/08927022.2023.2202766</v>
          </cell>
          <cell r="C218" t="str">
            <v>"ABSTRACT In here, a series of pyrimidin-(1(2H)-yl)acetamide and pyrimidin-(1(2H)-yl)isophthalimide derivatives were synthesised according to literature. The cytotoxic activity properties of these molecules were screened against human cancer cell lines as in vitro. The results demonstrated that these molecules had moderate effects on cancer cell lines for 48â€…h. The binding potential of the relatively active compound, ZF1, towards CDK1 (cyclin-dependent kinase 1) was investigated through molecular docking. The stability of the enzyme-ZF1 complex procured from the molecular docking was assessed through molecular dynamics (MD) simulation. Then, the electrochemical properties of the synthesised compounds were computed through density functional theory (DFT) studies. Computational pharmacokinetic analysis was also performed. The computational studies revealed that ZF1 could bind to CDK1 but its binding potential was less than the standard drug. The MD simulation exhibited that the compound could be stable inside the binding region during the simulation period. ZP3 is predicted to have the highest chemical stability among the synthesised compounds. Furthermore, the computational pharmacokinetic study revealed that ZP1, ZP2, and ZP3 had drug-like properties."</v>
          </cell>
          <cell r="E218" t="str">
            <v>CHEMISTRY, PHYSICAL|PHYSICS, ATOMIC, MOLECULAR &amp; CHEMICAL</v>
          </cell>
          <cell r="F218" t="str">
            <v>Cytotoxic activity,docking,DFT,MD simulation</v>
          </cell>
          <cell r="H218" t="str">
            <v>Q3</v>
          </cell>
        </row>
        <row r="219">
          <cell r="B219" t="str">
            <v>10.1080/08941939.2021.1942338</v>
          </cell>
          <cell r="C219" t="str">
            <v>"ABSTRACT Purpose Intraoperative posterior cricoarytenoid muscle (PCAM) electromyography (EMG) may be useful for predicting postoperative vocal cord function (VCF) and prognosis of vocal cord palsy (VCP) in patients with intraoperative loss of signal (LOS). Materials and Methods Thirty out of 395 patients having LOS detected by intraoperative neural monitoring (IONM), were applied intraoperative PCAM EMG. Results VCP was present in all Type 1 injury RLNs (16) (100%) and in 8 (57%) of 14 RLNs with Type 2 injury (pâ€‰=â€‰0.005). 14 out of 30 LOS patients (47%) had positive PCAM EMG amplitudes. The sensitivity, specificity, positive and negative predictive values and accuracy rates for predicting postoperative VCP via PCAM EMG, were calculated as 66.7%, 100%,100%, 42.86% and 73.33%. The negative PCAM EMG was related to VCP in both Type 1 and Type 2 LOS. VCP recovery time of Type 1 LOS patients was significantly longer than that of Type 2 LOS patients (pâ€‰=â€‰0.009). In Type 2 LOS, VCP recovery time was significantly longer in negative PCAM EMG patients compared to positive PCAM EMG patients (pâ€‰=â€‰0.046). Conclusion Negative PCAM EMG is associated with the postoperative VCP. Type 1 injury results in VCP regardless of PCAM EMG results, and VCF recovers after a longer period compared to Type 2 LOS. In Type 2 LOS, positive PCAM EMG may result in VCP by 40%. However, the presence of negative PCAM EMG is related to the postoperative VCP in all patients and the recovery time is longer compared to positive PCAM EMG patients."</v>
          </cell>
          <cell r="E219" t="str">
            <v>SURGERY</v>
          </cell>
          <cell r="F219" t="str">
            <v>Thyroidectomy,posterior cricoarytenoid muscle electromyography,loss of signal,vocal cord paralysis,recurrent laryngeal nerve,intraoperative neuromonitorisation</v>
          </cell>
          <cell r="H219" t="str">
            <v>Q3</v>
          </cell>
        </row>
        <row r="220">
          <cell r="B220" t="str">
            <v>10.1080/08941939.2021.1966142</v>
          </cell>
          <cell r="C220" t="str">
            <v>"Abstract Introduction Extravasation injuries are one of the most feared complications of intravenous drug administration. The most common drugs associated with extravasation injury include chemotherapy agents and contrast media. Natural course of vesicant extravasation is discomfort, pain, swelling, inflammation, and ultimately skin ulceration. While diligence is the principle approach in prevention, immediate bed-side measures are as important in controlling the extent of tissue damage. Various options, either medical or interventional are next steps in treatment of the condition including antidotes, volume dilution, flushing, suction, hyperbaric oxygen therapy, and surgery. Materials and methods 12 male Wistar albino rats were divided into two groups; one group received fat injections following subdermal doxorubicin infiltration in their right thighs, while other group received saline injection following subdermal doxorubicin infiltration in their right thighs for dilution. Left thighs of both groups were left untreated following subdermal doxorubicin infiltration. Total area of necrosis, as well as resultant epidermal thicknesses were assessed. Histological analyses were conducted using modified Verhofstad scoring system for comparison. Results Mean necrotic area was significantly smaller in the fat injection group compared to other groups. Median Verhofstad score was lesser in the fat injection group as well. Median epidermal thickness, on the other hand, was greater in the fat injection group. Conclusion Injection of fat grafts following vesicant extravasation might be beneficial in preventing the progression of tissue damage, if employed early."</v>
          </cell>
          <cell r="E220" t="str">
            <v>SURGERY</v>
          </cell>
          <cell r="F220" t="str">
            <v>Extravasation,fat injection,regenerative medicine,chemotherapeutics,iatrogenic injury</v>
          </cell>
          <cell r="H220" t="str">
            <v>Q3</v>
          </cell>
        </row>
        <row r="221">
          <cell r="B221" t="str">
            <v>10.1080/08941939.2021.1988772</v>
          </cell>
          <cell r="C221" t="str">
            <v>"Abstract Background With the development of microsurgical techniques, the replantation survival rate has increased, but in some cases, revision surgery is required. Although there are many studies on replantation survival rate, studies on revision surgery are limited. In this study, we evaluated replantation patients requiring revision surgery in terms of amputation level, injury type, and amputation type (single-multiple). Methods This is a retrospective study.Two hundred fifty-six patients (296 fingers) who were operated on for total finger amputation in our hospital between 2013 and 2018 were included in the study. In the postoperative period, revision surgery was required for 24 fingers due to vascular insufficiency. Patients were evaluated in terms of amputation level, injury type, and amputation type. Results Two hundred sixty-four fingers were saved after primary surgery. Eight fingers failed before they could undergo revision surgery. Revision surgery was performed for 24 fingers. After revision surgery, 19 fingers were saved, and five fingers were failed. There was no significant effect of gender and age in terms of revision (pâ€‰&gt;â€‰0.05).There was no statistically significant difference in injury level and injury type, but there was a statistically significant difference in terms of amputation type (pâ€‰&lt;â€‰0.05). Conclusion Despite advanced microsurgery and experience, vascular insufficiency can be observed after replantation. Surgical re-exploration is necessary for salvage."</v>
          </cell>
          <cell r="E221" t="str">
            <v>SURGERY</v>
          </cell>
          <cell r="F221" t="str">
            <v>Finger replantation,revision,hand surgery</v>
          </cell>
          <cell r="H221" t="str">
            <v>Q3</v>
          </cell>
        </row>
        <row r="222">
          <cell r="B222" t="str">
            <v>10.1080/08941939.2022.2062497</v>
          </cell>
          <cell r="C222" t="str">
            <v>"Abstract Background One of the reasons for unsuccessful replantation is recipient site problems. In cases where proximal stump status cannot be predicted exactly, reamputation may be required depending on the result of infection and tissue necrosis. The ectopic banking method has been defined for this type of injury. In this study, we presented the amputated or devascularized upper extremity digit ectopic banking application results in our clinical practice. Methods Nineteen digits (17 patients) banking ectopically were included in the study. All digits ectopically banked in the forearm volar of the non-injured upper limb. Transfers were made after waiting for the appropriate time. Ectopic banking periods, postoperative complications, and other descriptive data were recorded. In the postoperative 6th month, the range of motion (ROM) values of the digits were measured and compared with the ROM values of the same digit on the non-injured extremity.Also, in the postoperative 6th month, a questionnaire with a score of 1â€“5 was conducted for cosmetic results. Results The mean follow-up time was 13.6â€‰months. The mean patient age was 39.5â€‰years. The ectopic banking success rate is 94.1% (16/17). The orthotopic/heterotopic transfer success rate is 100% (17/17). Ectopic banking time is, on average, 19.2â€‰days (min 5â€“max 55). Average cosmetic scale is 3.54. Conclusions We think that the results of our study will shed light on surgeons who make ectopic banking applications."</v>
          </cell>
          <cell r="E222" t="str">
            <v>SURGERY</v>
          </cell>
          <cell r="F222" t="str">
            <v>Ectopic banking,replantation,digit salvage,microsurgery</v>
          </cell>
          <cell r="H222" t="str">
            <v>Q3</v>
          </cell>
        </row>
        <row r="223">
          <cell r="B223" t="str">
            <v>10.1080/09298215.2023.2240756</v>
          </cell>
          <cell r="C223" t="str">
            <v>"The concept of shad-makam is explored through an analysis of pieces in makams Rengidil and Ruhnevaz, to see whether these two are distinct structures or transposition of their antecedents; Neveser and Buselik. The analysis was performed using ML algorithms on features extracted from symbolic Turkish music data. The standard tuning and the shad-makam pieces transposed to the same pitch with original makam were examined. Falsely classified pieces were analysed qualitatively, to explain quantitative results. We determined that Rengidil is a transposed form of Neveser and should not be considered as a distinct makam. In contrast, Ruhnevaz is different from Buselik."</v>
          </cell>
          <cell r="E223" t="str">
            <v>COMPUTER SCIENCE, INTERDISCIPLINARY APPLICATIONS|MUSIC</v>
          </cell>
          <cell r="F223" t="str">
            <v>Makam analysis,Turkish music,machine learning,classification,shad-makam</v>
          </cell>
          <cell r="H223" t="str">
            <v>Q4</v>
          </cell>
        </row>
        <row r="224">
          <cell r="B224" t="str">
            <v>10.1080/09500693.2022.2149285</v>
          </cell>
          <cell r="C224" t="str">
            <v>"ABSTRACT Informal science learning is valuable in the development of studentsâ€™ cognitive and affective skills which also influences the development of an interest in science. Successful utilisation of informal learning settings into teaching and learning requires highly qualified teachers. This study explored how engagement in a semester-long course influenced preservice science teachersâ€™ (PSTs) views and professional development on the use of natural history museums in science education. In this study, researchers collaborated with a natural history museum to design a 14-week-long undergraduate course. Findings revealed that intense immersion to the natural history museum as a part of the undergraduate course helped PSTs to develop a solid understanding of the value of informal settings. At the end of the course, PSTs were able to identify museums as valuable informal learning environments rather than supplemental to classroom learning. In addition, they became more supportive in addressing studentsâ€™ different learning preferences. Accordingly, PSTs defined their teacher role as participants of the student learning process rather than being responsible for organising the visit and managing student behaviour. Most importantly at the end of the course, they were able to make the connection between science curricula and the museum."</v>
          </cell>
          <cell r="E224" t="str">
            <v>EDUCATION &amp; EDUCATIONAL RESEARCH</v>
          </cell>
          <cell r="F224" t="str">
            <v>Informal learning setting,science museum,preservice science teacher</v>
          </cell>
          <cell r="H224" t="str">
            <v>Q1</v>
          </cell>
        </row>
        <row r="225">
          <cell r="B225" t="str">
            <v>10.1080/09513590.2020.1753033</v>
          </cell>
          <cell r="C225" t="str">
            <v>"Abstract The aim of this study is to evaluate the effect of GnRH agonist or GnRH antagonist therapy on bleomycin-administered rats by examining ovarian follicle counts and AMH levels. A total of 30 female Wistar albino rats aged 4â€“6â€‰months were randomly divided into 4 groups. First, an intramuscular injection of bleomycin (30â€‰mg/m2) was administered to all except the control group on the 1st, 8th and 15th days. The control group (Group I) was administered 0.1â€‰mL intramuscular saline on those days. The bleomycin group (Group II) was followed up without any further treatment. The bleomycinâ€‰+â€‰GnRH agonist group (Group III) was administered subcutaneous GnRH agonist triptorelin (1â€‰mg/kg) at the same time as the bleomycin injections. The bleomycinâ€‰+â€‰GnRH antagonist group (Group IV) was administered 1â€‰mg/kg cetrorelix acetate subcutaneously, concurrently with the bleomycin. Although AMH levels were lower in the bleomycin group than in all the other groups, there was no statistically significant difference between the groups in terms of AMH levels (pâ€‰&gt;â€‰.05). In the bleomycinâ€‰+â€‰cetrorelix acetate and bleomycinâ€‰+â€‰triptorelin groups, significantly higher primordial, secondary and tertiary follicle counts were determined compared to the bleomycin group (pâ€‰&lt;â€‰.001). In conclusion the harmful effects of bleomycin on ovarian reserve can be reduced by the simultaneous administration of GnRH agonist or GnRH antagonist."</v>
          </cell>
          <cell r="E225" t="str">
            <v>ENDOCRINOLOGY &amp; METABOLISM|OBSTETRICS &amp; GYNECOLOGY</v>
          </cell>
          <cell r="F225" t="str">
            <v>Bleomycin,ovarian reserve,GnRH agonist,GnRH antagonist,AMH</v>
          </cell>
          <cell r="H225" t="str">
            <v>Q3</v>
          </cell>
        </row>
        <row r="226">
          <cell r="B226" t="str">
            <v>10.1080/09513590.2020.1830968</v>
          </cell>
          <cell r="C226" t="str">
            <v>"Abstract Objective To investigate the relationship between thyroid autoimmunity and early pregnancy serum Î²-HCG levels in intracytoplasmic sperm injection patients. Methods The study subjects were 85 female euthyroid patients undergoing intracytoplasmic sperm injection embryo transfer cycles with GnRH antagonist treatment. Patients who received transfer of more than one embryo, those with serum TSH levels of greater than 2.5â€‰IU/ml and subjects using levothyroxine were excluded. Normal responder patients under the age of 40â€‰years were randomly selected from the patient files retrospectively. Subjects were divided into two groups: those with autoimmune thyroid disease (thyroid autoimmunity group; nâ€‰=â€‰39) and those without the disease (control group; nâ€‰=â€‰46). Results The age, body mass index, trial number, total rFSH treatment dose, the number of cumulus oophorus complexes, number of metaphase II oocytes, and number of 2-pronuclei embryos were similar in the thyroid autoimmunity and control groups. Serum Î²-HCG levels measured on the 14th day after oocyte pickup were significantly lower in the thyroid autoimmunity group than in the control group (93.8â€‰Â±â€‰35.8 versus 128.5â€‰Â±â€‰55.8 mlU/ml, respectively; pâ€‰&lt;â€‰.001). The miscarriage rate was higher in the thyroid autoimmunity group than in the control group (34.4% versus 21.7%, respectively; pâ€‰=â€‰.034). Conclusion We found that early-stage pregnancy serum Î²-HCG hormone levels among euthyroid patients undergoing intracytoplasmic sperm injection were lower in subjects with thyroid autoimmunity than in those without thyroid autoimmunity. This result, reported for the first time in the literature on euthyroid pregnant women with thyroid autoimmunity, may be predictor of early pregnancy losses in pregnant women with thyroid autoimmunity. Key message In intracytoplasmic sperm injection (ICSI)/IVF patients, due to lack of evidence-based data about the relationship between thyroid autoimmunity and pregnancy loss the current research was conducted. Early-stage pregnancy serum Î²-HCG hormone levels in euthyroid ICSI patients with thyroid autoimmunity are lower than those without autoimmunity which may be associated with early pregnancy losses."</v>
          </cell>
          <cell r="E226" t="str">
            <v>ENDOCRINOLOGY &amp; METABOLISM|OBSTETRICS &amp; GYNECOLOGY</v>
          </cell>
          <cell r="F226" t="str">
            <v>beta-HCG,intracytoplasmic sperm injection,thyroid autoimmunity,pregnancy,miscarriage,GnRH antagonist treatment</v>
          </cell>
          <cell r="H226" t="str">
            <v>Q3</v>
          </cell>
        </row>
        <row r="227">
          <cell r="B227" t="str">
            <v>10.1080/09513590.2021.1883584</v>
          </cell>
          <cell r="C227" t="str">
            <v>"Abstract Objective To investigate whether prior endometrium spectroscopy predicts the success of embryo transfer in patients with recurrent implantation failure (RIF). Materials and methods Twenty women with RIF who were scheduled for IVF-ET and six fertile women were included the study. All women with RIF and fertile controls underwent endometrium spectroscopy before embryo transfer. A multi-voxel spectroscopy sequence was used for the detection of choline (Cho), creatine (Cr), lactate, and lipids. Women with RIF were divided into two subgroups as successful (nâ€‰=â€‰8) and unsuccessful RIF (nâ€‰=â€‰12) according to both Cho and Cr metabolite characteristics and whether pregnancy was achieved. Associations between the metabolite intensities of the RIF subjects and the implantation rate (IR) and clinical pregnancy rate (CPR) were assessed. Results While 8 of 20 RIF cases became pregnant, pregnancy could not be achieved in 12 cases. The common spectroscopy finding in all 8 cases who conceived was high Cho and low lactate. The main metabolite change detected in 12 patients who could not conceive was the increase in lactate and lipid signals. The cutoff value of Cho, Cr, lactate and lipid were 1.01â€‰ppm, 1.44â€‰ppm, 0.86â€‰ppm and 1.22â€‰ppm respectively in patients who achieved pregnancy following ET. A positive and significant correlation was found between Cho and Cr intensities and IR or CPR. Conclusions Receptive endometrium represents some specific metabolites in spectroscopy that can be used for prediction of the success or failure of embryo transfer in women suffering implantation failure."</v>
          </cell>
          <cell r="E227" t="str">
            <v>ENDOCRINOLOGY &amp; METABOLISM|OBSTETRICS &amp; GYNECOLOGY</v>
          </cell>
          <cell r="F227" t="str">
            <v>Endometrium metabolite,magnetic resonance spectroscopy,implantation,clinical pregnancy,recurrent implantation failure,IVF-ET</v>
          </cell>
          <cell r="H227" t="str">
            <v>Q3</v>
          </cell>
        </row>
        <row r="228">
          <cell r="B228" t="str">
            <v>10.1080/09540253.2023.2194888</v>
          </cell>
          <cell r="C228" t="str">
            <v>"ABSTRACT This paper discusses the possibilities of sound and sonic thinking as feminist pedagogical tools for self-reflexivity, reimagining, and communal awareness. The collaborative reflections of the facilitators of and two participants in the Gender and Sound course that took place within the body of Bilimler KÃ¶yÃ¼ â€“ an alternative educational initiative with a focus on transdisciplinary, collaborative, and ecologic learning â€“ theoretically argue that sonic thinking opens space for the questioning of dominant cultural narratives, identities and structures, and for thinking about possible subject positions beyond those which are already established. Therefore sound, as an umbrella term for the auditory, constitutes technologies of the self that might have the ability to reconceptualize the self, agency and resistance."</v>
          </cell>
          <cell r="E228" t="str">
            <v>EDUCATION &amp; EDUCATIONAL RESEARCH</v>
          </cell>
          <cell r="F228" t="str">
            <v>Gendered soundscape,self-reflexivity,sonic thinking,transgressive pedagogy,sound narrative</v>
          </cell>
          <cell r="H228" t="str">
            <v>Q3</v>
          </cell>
        </row>
        <row r="229">
          <cell r="B229" t="str">
            <v>10.1080/09575146.2023.2169663</v>
          </cell>
          <cell r="C229" t="str">
            <v>"ABSTRACT This study aimed to uncover teachersâ€™ experiences and practices in addressing preschool adjustment following the lockdowns and home confinement. Twenty-seven preschool teachers participated in this qualitative descriptive study. Eighteen teachers were interviewed individually, and a focus group interview was held with nine teachers. The thematic analysis showed that lockdowns and home confinement had both challenging and facilitating influences on childrenâ€™s preschool adjustment. Teachers mentioned the increase in separation protests and the decline in social and fine motor skills as challenges. Teachers cited improved self-care skills, increased engagement, and better parent-preschool communication as facilitating factors. Furthermore, the teachers altered their preschool adjustment practices, allowing more time for outdoor activities, individual activities, and free play. Although the participation of parents in the adjustment process was reduced due to pandemic regulations, they communicated with the parents on a more regular and frequent basis. This process affected children's preschool adjustment, but teachers were able to support children and parents by changing their practices."</v>
          </cell>
          <cell r="E229" t="str">
            <v>EDUCATION &amp; EDUCATIONAL RESEARCH</v>
          </cell>
          <cell r="F229" t="str">
            <v>Preschool adjustment,early childhood education,COVID-19,home confinement</v>
          </cell>
          <cell r="H229" t="str">
            <v>Q4</v>
          </cell>
        </row>
        <row r="230">
          <cell r="B230" t="str">
            <v>10.1080/09593985.2023.2263554</v>
          </cell>
          <cell r="C230" t="str">
            <v>"ABSTRACT Background The efficacy of various supervision methods for stabilization exercises in patients with chronic low back pain (CLBP) remains uncertain. Objective To evaluate the impact of supervised and unsupervised stabilization exercises in patients with CLBP. Methods Sixty-six participants were assigned to the in-person-supervised, tele-supervised, or unsupervised groups. All participants received a 20â€“30-minute exercise program three times a week for 4â€‰weeks. We assessed functionality (Oswestry Disability Index), pain intensity (Numeric Rating Scale), and kinesiophobia (Tampa Scale of Kinesiophobia) before and after the 4â€‰weeks. The outcomes were analyzed using effect size, minimum clinically important difference (MCID), minimal detectable change (MDC), Wilcoxon test, and post hoc analyses. Results While the unsupervised group improved in all measures (pâ€‰&lt;â€‰.05) both the tele-supervised (pâ€‰=â€‰.001) and in-person-supervised (pâ€‰&lt;â€‰.001) groups achieved superior functionality exceeding MDC. The in-person-supervised group demonstrated greater functionality (pâ€‰&lt;â€‰.001) than the tele-supervised group, exceeding MCID. Pain intensity decreased in the tele-supervised (pâ€‰=â€‰.011) and in-person-supervised groups (pâ€‰&lt;â€‰.001) compared to the unsupervised group, exceeding MCID and MDC. No significant difference was found in post-treatment NRS score changes between the supervised groups (pâ€‰=â€‰.071). The in-person-supervised group displayed a greater reduction in kinesiophobia than the tele-supervised (pâ€‰&lt;â€‰.001) and unsupervised groups (pâ€‰&lt;â€‰.001) but not exceeding MCID or MDC. Effect sizes were large within and between groups except for a small effect size between the tele-supervised and unsupervised groups in kinesiophobia. Conclusion While tele-supervised stabilization exercises alleviate pain and enhance functionality, in-person-supervised exercises may be more effective in improving functionality and reducing kinesiophobia in patients with CLBP."</v>
          </cell>
          <cell r="E230" t="str">
            <v>REHABILITATION</v>
          </cell>
          <cell r="F230" t="str">
            <v>Chronic pain,exercise intervention,fear,low back pain,telerehabilitation</v>
          </cell>
          <cell r="H230" t="str">
            <v>Q2</v>
          </cell>
        </row>
        <row r="231">
          <cell r="B231" t="str">
            <v>10.1080/09599916.2023.2167665</v>
          </cell>
          <cell r="C231" t="str">
            <v>"ABSTRACT The article addresses the legal design challenges of real estate crowdfunding, proposing potential solutions that combine blockchain technology, tokenisation, finance, and law. We propose a blockchain tokenised security design, based on a sertificate similar to Sukuk, an Islamic finance asset, that draws inspiration from Equipment Trust Certificates and is managed by a Special Purpose Vehicle (SPV), that may issue blockchain tokenised certificates. These certificates grant rights related to an investment property. Each series of certificates represents specific property and will be a liability of the SPV that owns the property. In general, the tokens used resemble but remain categorically distinct from asset-backed securities. Their performance still depends on the underlying assetâ€™s performance. Most important, token owners do not become partners in the SPV but are granted fractional ownership and rights on the underlying property. The proposed token mechanism could prevent delays in the transaction process related to transferring ownership of a property. It could split at some point to allow for the creation of ownership and income rights. The proposed security design potentially protects investorsâ€™ legal rights better without standard application of investors becoming partners in the SPV while shortening the transaction times, and increasing transparency and asset liquidity."</v>
          </cell>
          <cell r="E231" t="str">
            <v>URBAN STUDIES</v>
          </cell>
          <cell r="F231" t="str">
            <v>Blockchain,tokenisation,special purpose vehicle,contract design,smart contracts,real estate investment</v>
          </cell>
          <cell r="H231" t="str">
            <v>Q2</v>
          </cell>
        </row>
        <row r="232">
          <cell r="B232" t="str">
            <v>10.1080/09603123.2023.2223470</v>
          </cell>
          <cell r="C232" t="str">
            <v>"ABSTRACT Polychlorinated biphenyls (PCBs) were used in different industrial areas and banned due to their high toxicity. Aroclor 1254 (A1254), commercial PCB congener, accumulates in environment leading to high human exposure. A1254 may cause hepatotoxicity, metabolic and endocrine disorders. In our study, 3-week-old male rats were separated into 6 groups: C (0.15â€‰mg/kg Se in diet); SeS (1â€‰mg/kg Se in diet); SeD (0.05â€‰mg/kg Se in diet); A1254 receiving groups (A; ASeS; ASeD) were given 10â€‰mg/kg/day A1254 orally for last 15â€‰days of feeding period with control, SeD or SeS diet, respectively, for 5â€‰weeks. Histopathology, oxidant/antioxidant balance, apoptosis and cell cycle proteins (p53, p21) in liver were evaluated. Our results suggest that A1254 leads to changes in histology, oxidative stress and apoptosis. Selenium deficiency augments oxidative stress and apoptosis while selenium supplementation is partially protective. More mechanistic in vivo experiments are necessary for evaluation of hepatotoxicity of PCBs."</v>
          </cell>
          <cell r="E232" t="str">
            <v>ENVIRONMENTAL SCIENCES|PUBLIC, ENVIRONMENTAL &amp; OCCUPATIONAL HEALTH</v>
          </cell>
          <cell r="F232" t="str">
            <v>Polychlorinated biphenyls,liver,selenium,oxidative stress,apoptosis</v>
          </cell>
          <cell r="H232" t="str">
            <v>Q2</v>
          </cell>
        </row>
        <row r="233">
          <cell r="B233" t="str">
            <v>10.1080/09603123.2023.2286016</v>
          </cell>
          <cell r="C233" t="str">
            <v>"ABSTRACT Endocrine-disrupting environmental chemicals are a public health concern, particularly fetal exposure to Bisphenol derivatives. This study aimed to assess fetal exposure to Bisphenol derivatives (BPA, BPF, and BPS) by measuring their levels in cord blood and investigating their association with plastic material used in daily life as well as cord blood TSH and free L-thyroxine (fT4) levels. In this descriptive study, a questionnaire with a face-to-face interview was administered before birth, and cord blood samples were taken immediately after delivery. The mean levels of BPA, BPF, TSH, and fT4 were measured as 10.69â€‰Â±â€‰2.39â€‰ng/ml, 3.80â€‰Â±â€‰0.58â€‰ng/ml; 2.36â€‰Â±â€‰0.23 ÂµIU/ml, and 14.18â€‰Â±â€‰0.53â€‰pg/ml, respectively, in a total of 104 cord blood samples. All BPS levels remained below the detection limit. Linear regression analysis revealed a positive association between birth weight and cord blood BPA concentration (Î²â€‰=â€‰0.26; pâ€‰=â€‰0.02). Further research on maternal exposure during the fetal and neonatal period is critical for public health."</v>
          </cell>
          <cell r="E233" t="str">
            <v>ENVIRONMENTAL SCIENCES|PUBLIC, ENVIRONMENTAL &amp; OCCUPATIONAL HEALTH</v>
          </cell>
          <cell r="F233" t="str">
            <v>Thyroid hormone,endocrine disruptors,bisphenols</v>
          </cell>
          <cell r="H233" t="str">
            <v>Q2</v>
          </cell>
        </row>
        <row r="234">
          <cell r="B234" t="str">
            <v>10.1080/0966369X.2023.2272222</v>
          </cell>
          <cell r="C234" t="str">
            <v>"Abstract This work aims to uncover the changing meaning of home by focusing on gender-based experiences of staying at home during the COVID-19 pandemic in Turkey. The findings show that the meaning of home is not straightforward and, depending on oneâ€™s gender-based experiences and diverse experiences of staying at home arise. In this work, Doreen Masseyâ€™s (1994) joint conceptualisations of spatiality and identity for understanding space and place in general and home in particular not as an absolute but as a relational place, together with Iris Marion Youngâ€™s (2005) conceptualisation of homemaking provide the theoretical context for linking the stay-at-home experiences of the participants with the meaning of home during the COVID-19 pandemic from a gender perspective. Furthermore, gender-based experiences of staying at home during the COVID-19 in Turkey are meaningful in the context of the discourses and social policy interventions of the existing government producing the social organization of space from an anti-gender and a conservative neo-liberal perspective. This work is based on online qualitative semi-structured interviews conducted with 32 self-identified female participants. Interview data were interpreted using the three thematic categories of â€˜home as a dwelling,â€™ â€˜home as a burden,â€™ â€˜home as a place for preservation. The findings support the existing research on the gender-specific organisation of care work and time usage and further contribute to the field by demonstrating that home was a gendered space sustained through mutual relations between gender practices and spatial practices before and during the pandemic."</v>
          </cell>
          <cell r="E234" t="str">
            <v>GEOGRAPHY|WOMENS STUDIES</v>
          </cell>
          <cell r="F234" t="str">
            <v>Home,homemaking,gender,pandemic,women in Turkey</v>
          </cell>
          <cell r="H234" t="str">
            <v>Q3</v>
          </cell>
        </row>
        <row r="235">
          <cell r="B235" t="str">
            <v>10.1080/10298436.2020.1810687</v>
          </cell>
          <cell r="C235" t="str">
            <v>"ABSTRACT The elastic modulus of an asphalt mixture varies with temperature and frequency of load due to its visco-elastic nature, and this behaviour is represented by a master curve constructed by either laboratory tests or predictive models based on known material properties. The predictive approach is based on the material specifications and enables to estimate the modulus over a range of frequency without any laboratory tests. However, this estimated curve should be corrected with respect to a measured reference value, which can be obtained from non-destructive methods. In this study, ultrasonic surface waves (USW) and light weight deflectometer (LWD) tests are conducted on two laboratory slab specimens and an as built pavement, and the experimental results are compared with the predictive master curves. The measured dynamic moduli are found consistently higher than the predictive master curves indicating that the model underestimates the modulus of asphalt mix. Finally, the method is verified by shifting the moduli measured at different frequencies to the 25-Hz-design modulus, of which those obtained by the USW tests from the laboratory and field match very well, whereas those by the USW and the LWD tests from the as built pavement are also found highly consistent with each other."</v>
          </cell>
          <cell r="E235" t="str">
            <v>CONSTRUCTION &amp; BUILDING TECHNOLOGY|ENGINEERING, CIVIL|MATERIALS SCIENCE, CHARACTERIZATION &amp; TESTING</v>
          </cell>
          <cell r="F235" t="str">
            <v>Asphalt pavement,master curve,dynamic modulus,condition assessment,ultrasonic surface waves,light weight deflection test</v>
          </cell>
          <cell r="H235" t="str">
            <v>Q2</v>
          </cell>
        </row>
        <row r="236">
          <cell r="B236" t="str">
            <v>10.1080/10402659.2022.2023429</v>
          </cell>
          <cell r="C236" t="str">
            <v>"Often depicted as extremely vulnerable and in need of help in an era of climate emergency, the LGBTQâ€‰+â€‰or â€œqueerâ€ community is rarely given a voice in adaptation plans and processes. Their unique ways and means of evaluating the root causes of climate-related problems and finding holistic solutions are also understudied by scholars and practitioners. Offering an in-depth qualitative analysis based on existing literature, official websites, published interviews, and news, this article demonstrates how nonbinary people from around the world organize online and offline activities to challenge heterosexuality and patriarchy as main obstacles to land, food, and climate justice. Acknowledging the agency of â€œeco-queerâ€ populations and tapping into their adaptivity and productivity would nurture current theories and practices of human rights advocacy as well as environmental sustainability."</v>
          </cell>
          <cell r="E236" t="str">
            <v>INTERNATIONAL RELATIONS</v>
          </cell>
          <cell r="H236" t="str">
            <v>Q4</v>
          </cell>
        </row>
        <row r="237">
          <cell r="B237" t="str">
            <v>10.1080/10408436.2021.1989665</v>
          </cell>
          <cell r="C237" t="str">
            <v>"Abstract The COVID-19 pandemic continues to afflict millions of people without respite. The relentless surge in infections is due to insufficient supplies of appropriate vaccines, the long incubation period and high prevalence of SARS-CoV-2, and the lack of widespread detection and diagnosis. The development of low-cost rapid detection and sensing platforms will prove vital in the race to efficiently detect and diagnose COVID-19. Nanomaterial-based biosensors and detectors are particularly promising in this regard, with the potential to play a significant role in inhibiting the spread of COVID-19 by early detection. In this review, various schemes for the detection and diagnosis of COVID-19 are elaborated, with special emphasis on the unique advantages of nanomaterials for these niche applications. Moreover, smart nanomaterials, i.e., nanomaterials that respond to external stimuli by changing their physicochemical properties, are reviewed and evaluated for novel applications related to COVID-19 detection and diagnosis. The prospects of the reviewed materials and systems are discussed in detail, and a roadmap for future research and development is proposed."</v>
          </cell>
          <cell r="E237" t="str">
            <v>MATERIALS SCIENCE, MULTIDISCIPLINARY|PHYSICS, CONDENSED MATTER</v>
          </cell>
          <cell r="F237" t="str">
            <v>Nanomaterials,biosensors,COVID-19,SARS-CoV-2,pandemic,vaccine,antiviral,detectors</v>
          </cell>
          <cell r="H237" t="str">
            <v>Q1</v>
          </cell>
        </row>
        <row r="238">
          <cell r="B238" t="str">
            <v>10.1080/10409289.2022.2043134</v>
          </cell>
          <cell r="C238" t="str">
            <v>"ABSTRACT Research Findings: The aim of this study was to construct and validate â€œEnglish Picture Vocabulary Test (EPVT)â€ that aimed to assess the very young learnersâ€™ (VYLs) receptive and expressive vocabulary knowledge for specific content areas in English as a foreign language (EFL). In this context, EPVT was created in several stages. One of them was initial construct identification with the literature review on various aspects of assessment in early yearâ€™s FL learning and development aspects of very young EFL learners. The other stages were â€œpre-pilotingâ€ with 4 experts and 20 VYLs to obtain their perspectives on the test construction and administration and â€œfinal pilotingâ€ implementation with 5â€“6 years old private pre-primary school children (251) to ensure reliability, validity, and test quality. After designing the process of the EPVT was clarified considering the ethical and effectiveness issues, the item analysis with Kuder-Richardson 20 and Point-Biserial Correlation was conducted. Besides, the distribution of the items among the ranges of difficulty and the discrimination index values were specified. Practice and Policy: The findings support that EPVT is child-friendly and effective in assessing preschoolersâ€™ English vocabulary receptively and expressively. Furthermore, it could also serve to provide feedback for teaching and supporting for learning L2."</v>
          </cell>
          <cell r="E238" t="str">
            <v>EDUCATION &amp; EDUCATIONAL RESEARCH|PSYCHOLOGY, DEVELOPMENTAL|PSYCHOLOGY, EDUCATIONAL</v>
          </cell>
          <cell r="H238" t="str">
            <v>Q2</v>
          </cell>
        </row>
        <row r="239">
          <cell r="B239" t="str">
            <v>10.1080/10447318.2021.1987679</v>
          </cell>
          <cell r="C239" t="str">
            <v>"ABSTRACT Game User Experience Satisfaction Scale (GUESS) is a relatively recent addition to the toolset of game user researchers, and it became one of the most used player experience evaluation methods in recent years. It is originally validated in English to provide a reliable tool for both academics and practitioners in the field to improve the validity and reliability of their research. In Turkey, the developing game industry, and the increased number of attempts in Game User Research demand reliable and valid measurement tools such as GUESS. Therefore, the current study aims to adapt the GUESS into the Turkish language and culture. We translated GUESS into Turkish through a series of expert inspection and back-translation processes. The translated item set is used for the evaluation of four video games in laboratory settings and additional two video games in participantsâ€™ residences, due to Covid-19 restrictions. One hundred and twenty-one undergraduate students in the game design field participated in the gameplay sessions for evaluating games using the Turkish version of GUESS. Running a PLS-CFA on 449 responses, we revised the factor structure of GUESS for the Turkish version by splitting the Playability/Usability dimension into two separate factors and excluding four items. We suggest the removal of these items due to two reasons: 1) evaluating games chosen by the authors, and 2) working with an expert participant group, which are different from the volunteering game enthusiasts who evaluated a game of their choice in the original study. Overall, we validated that GUESS is applicable in Turkish to measure the game user experience, although there are minor differences with the original version. We suggest that the original English version may also be revised considering our methodology and findings."</v>
          </cell>
          <cell r="E239" t="str">
            <v>COMPUTER SCIENCE, CYBERNETICS|ERGONOMICS</v>
          </cell>
          <cell r="H239" t="str">
            <v>Q1</v>
          </cell>
        </row>
        <row r="240">
          <cell r="B240" t="str">
            <v>10.1080/1062936X.2021.1971760</v>
          </cell>
          <cell r="C240" t="str">
            <v>"ABSTRACT The hybrid method of the Electron-Conformational Genetic Algorithm (EC-GA) was used to determine the pharmacophore groups and to estimate anticancer activity in isatin derivatives using a robust 4D-QSAR software (EMRE). To build the model, each compound is represented by a set of conformers rather than a single conformation. The Electron Conformational Matrix of Congruity (ECMC) is composed via EMRE software. Electron Conformational Submatrix of Activity (ECSA) was calculated by the comparison of these matrices. Genetic algorithm was used to select important variables to predict theoretical activity. The model with the best seven parameters produced satisfactory results. The E statistics technique was applied to the generated ECâ€“GA model to evaluate the individual contribution of each of the descriptors on biological activity. The r 2 and q 2 values of the training set compounds were found to be 0.95 and 0.93, respectively. Because no previous 4D-QSAR studies on isatin derivatives have been conducted, this study is important in the development of new isatin derivatives. In this study, 27 isatin derivatives whose activities were estimated using the hybrid EC-GA method were also investigated through molecular docking and molecular dynamics simulations for their BCL-2 inhibitory activity."</v>
          </cell>
          <cell r="E240" t="str">
            <v>CHEMISTRY, MULTIDISCIPLINARY|COMPUTER SCIENCE, INTERDISCIPLINARY APPLICATIONS|ENVIRONMENTAL SCIENCES|MATHEMATICAL &amp; COMPUTATIONAL BIOLOGY|TOXICOLOGY</v>
          </cell>
          <cell r="F240" t="str">
            <v>4D-QSAR,Isatin,BCL-2,target-based studies,genetic algorithm</v>
          </cell>
          <cell r="H240" t="str">
            <v>Q3</v>
          </cell>
        </row>
        <row r="241">
          <cell r="B241" t="str">
            <v>10.1080/10641963.2022.2079668</v>
          </cell>
          <cell r="C241" t="str">
            <v>"ABSTRACT Background Red cell distribution width (RDW) and the systemic immune-inflammation index (SII) have been extensively studied as predictors of morbidity and mortality in several cardiovascular diseases. This prospective study aimed to investigate the relationship between long term major adverse cardiac events (MACEs) and simple hematological parameters in hypertensive patients. Methods The study included a total of 1202 patients with newly diagnosed HT. Of the patients, 662 (55.1%) were female and 540 (44.9%) were male, with a mean age of 53.0 Â± 11.4 years. The primary endpoint of the study was long term MACE, including cardiac death, stroke, and myocardial infarction. This is the first study focusing on the association of SII with major adverse cardiovascular outcomes in patients with HT. Results Eighty-nine patients (8.7%) developed at least one MACE during a mean follow-up period of 82.2 Â± 1.3 months. RDW (13.0 Â± 0.9 vs. 13.5 Â± 1.2%, p &lt; .001) and SII [465.0 (353.4â€“609.4) vs. 584.4 (468.9â€“794.0) x103/ÂµL, p &lt; .001] were significantly higher in patients with MACEs. The prevalence of MACEs was significantly higher in patients with RDW&gt;13.1% (10.4 vs. 5%; p &lt; .001) and in patients with SII&gt;465 x103/ÂµL (11.8 vs. 3.1%; p &lt; .001). The multivariate logistic regression analysis showed SII and RDW were independent predictors of MACEs. Conclusion The results of the study demonstrated that the RDW and SII were independent predictors of long-term cardiovascular events in hypertensive patients. These simple hematological parameters may be used as prognosticators of MACE in patients with newly diagnosed HT."</v>
          </cell>
          <cell r="E241" t="str">
            <v>PERIPHERAL VASCULAR DISEASE|PHARMACOLOGY &amp; PHARMACY</v>
          </cell>
          <cell r="F241" t="str">
            <v>Red-cell distribution width,systemic immune-inflammation index,hypertension,stroke,long-term follow-up</v>
          </cell>
          <cell r="H241" t="str">
            <v>Q3</v>
          </cell>
        </row>
        <row r="242">
          <cell r="B242" t="str">
            <v>10.1080/10669817.2023.2213989</v>
          </cell>
          <cell r="C242" t="str">
            <v>"ABSTRACT Objectives The use of instrument-assisted soft tissue mobilization (IASTM) has been documented to be effective for improving pain and function, but it is unclear whether it helps improve muscle performance in musculoskeletal diseases. This study investigated the effects of IASTM combined with exercise therapy on muscle endurance and pain intensity in patients with chronic neck pain. Methods Forty-eight individuals with chronic neck pain were randomly divided into exercise therapy (ET, nâ€‰=â€‰24) and combined therapy (CT, nâ€‰=â€‰24) groups. For 4â€‰weeks, each group underwent exercise therapy 3â€‰days a week for a total of 12 sessions. The ET group received exercise therapy only. The CT group received IASTM combined with exercise therapy twice per week for a total of 8 sessions. The muscle endurance of the participants was assessed with the Deep Neck Flexor Muscle Endurance (DNFE) test and pain intensity with Visual Analogue Scale (VAS) at baseline and post-treatment. Results While both groups showed significant improvement in pain intensity (pâ€‰&lt;â€‰0.05), the CT group showed a greater effect size for pain (CT group: Cohenâ€™s dâ€‰=â€‰3.28; ET group: Cohenâ€™s dâ€‰=â€‰2.12). The CT group showed significant improvement for muscle endurance (pâ€‰&lt;â€‰0.05), whereas the ET group did not (pâ€‰&gt;â€‰0.05). Conclusion In the current study, the IASTM intervention combined with ET improved pain and muscular endurance in participants with chronic neck pain compared to exercise therapy alone. As an alternative method, IASTM intervention before exercise seems to increase the short-term recovery effect in chronic neck pain conditions."</v>
          </cell>
          <cell r="E242" t="str">
            <v>REHABILITATION</v>
          </cell>
          <cell r="F242" t="str">
            <v>Chronic neck pain,instrument-assisted soft tissue mobilization,muscle endurance,rehabilitation</v>
          </cell>
          <cell r="H242" t="str">
            <v>Q2</v>
          </cell>
        </row>
        <row r="243">
          <cell r="B243" t="str">
            <v>10.1080/10803548.2023.2284538</v>
          </cell>
          <cell r="C243" t="str">
            <v>"Objectives. This study aimed to determine the prevalence of work-related diseases (WRDs) and work-related musculoskeletal disorders (WR-MSDs), as well as investigate WR-MSD-associated risk factors, among metal industry workers in Turkey. Methods. The cross-sectional study was conducted with 1374 members of the BirleÅŸik Metal Ä°ÅŸ Union from 121 companies. Data were collected using a self-administered 30-item questionnaire. Results. The survey response rate was 81.4% (1374/1686). Almost one out of every six workers (14.8%) stated that they had been diagnosed with a WRD, 3.6% reported that they had been diagnosed with an occupational disease and 38.6% of them indicated that they had suffered an occupational accident (OA) at least once. The prevalence of WR-MSDs was 10.7%, of work-related lung diseases was 1.8% and of occupational hearing loss was 0.6%. Quitting smoking, smoking, OA, heavy lifting, time pressure and working in the automotive industry were all associated with WR-MSDs. Conclusions. Interventions aimed at reducing musculoskeletal disorders (MSDs) should focus on smoking cessation, training workers in proper techniques and equipment for lifting and pushing/pulling heavy loads, preventing OAs and injuries, and reducing the time pressure in the workplace in the metal industry."</v>
          </cell>
          <cell r="E243" t="str">
            <v>ERGONOMICS|PUBLIC, ENVIRONMENTAL &amp; OCCUPATIONAL HEALTH</v>
          </cell>
          <cell r="F243" t="str">
            <v>metal industry,musculoskeletal disorders,occupational diseases,risk factors,work-related diseases</v>
          </cell>
          <cell r="H243" t="str">
            <v>Q3</v>
          </cell>
        </row>
        <row r="244">
          <cell r="B244" t="str">
            <v>10.1080/10901027.2022.2147881</v>
          </cell>
          <cell r="C244" t="str">
            <v>"ABSTRACT The study aims to reveal preschool teacher candidatesâ€™ online practicum experiences during the pandemic â€“ the teacher candidates connected to preschool classes online while the children were face-to-face with their class teachers. The participants of this phenomenological study were 18 preschool teacher candidates studying at a public university in Turkey. Data were collected via individual interviews, micro-teaching observations, and portfolios. Thematic content analysis was used for data analysis. The results showed that teacher candidates had to deal with technical problems. Still, they gained experience teaching online with young children and improved their digital skills and technological pedagogical content knowledge. They did not have the opportunity to develop teaching self-efficacy for face-to-face education. Teacher candidates especially expressed their concerns about classroom management and bonding with children."</v>
          </cell>
          <cell r="E244" t="str">
            <v>EDUCATION &amp; EDUCATIONAL RESEARCH</v>
          </cell>
          <cell r="H244" t="str">
            <v>Q3</v>
          </cell>
        </row>
        <row r="245">
          <cell r="B245" t="str">
            <v>10.1080/10911359.2023.2265439</v>
          </cell>
          <cell r="C245" t="str">
            <v>"ABSTRACT Public information and early warning are key components of social disaster prevention because they can complement planning, and multi-disciplinary coordination and minimize losses. Social media has increasingly become an important communication channel for users to disseminate useful public and emergency information in these incidents. Communications, including web-based services, between governments, communities, and people involved in the management of disasters are mandatory for the purposes of early warning, rescue services, and recovery. Purpose of this article is exploring how people may use or had used the social media applications during the disaster and provide the advantages of social media in disaster management all over the world but specifically for citizens of TÃ¼rkiye and Iraq. To get the response of the users, a Google form based survey questionnaire was distributed to the users through the internet. Two hundred and eleven persons, from both genders responded, ages ranged from 17â€‰years to above 45, from different educational levels, inhabiting TÃ¼rkiye (nâ€‰=â€‰105, 49.8%), Iraq (nâ€‰=â€‰88, 41.7%), and other countries (nâ€‰=â€‰18, 8.5%). The study shows that depending on the culture, social media usage behaviors change for disaster situations. During the disaster, Iraqi citizens preferred to use the Facebook application, meanwhile TÃ¼rkish citizens prefer to use WhatsApp application to communicate. Both, governments and private sector, are invited to establish and continuously update the infrastructure and facilities of an effective social media communication system, plans should be made to encourage all sectors of society to learn how to use social media in the event of a disaster."</v>
          </cell>
          <cell r="E245" t="str">
            <v>SOCIAL WORK</v>
          </cell>
          <cell r="F245" t="str">
            <v>Disaster,disaster management,social media,technology</v>
          </cell>
          <cell r="H245" t="str">
            <v>Q3</v>
          </cell>
        </row>
        <row r="246">
          <cell r="B246" t="str">
            <v>10.1080/13200968.2023.2213057</v>
          </cell>
          <cell r="C246" t="str">
            <v>"This special issue arose out of a workshop held online from 27 September to 1 October 2021 under the auspices of the Geneva Graduate Institute (Switzerland). In a year when immobility re-defined academic encounters and exchange, our workshop entitled International Law Dis/Oriented: Queer Legacies and Queer Futures focused on the mobility of queer international legal research. By zooming in on the distinct paths, connections, and forms of dis/orientations through which queer methods have contributed to the practice and discipline of international law, our workshop aimed to provide a platform to take stock of and ponder on the workings of queer analytical sensibilities and queer methods in the study of international law. Since their recent emergence of international law, queer approaches have often been studied from a destination-oriented perspective, with a focus on what they (aim to) achieve. On the contrary, our objective with the workshop was to look at the journey itself and attempt to single out how scholars are using queer sensibilities in their work; in other words, what â€˜doing queerâ€™ means for international legal research. The workshop explored how theories, methods, and knowledge can â€“ or cannot â€“ travel across regions, disciplines, institutions, and languages. The mapping out of queer scholarship is often limited to the Global North and/or to Western authors, institutions, and"</v>
          </cell>
          <cell r="E246" t="str">
            <v>LAW</v>
          </cell>
          <cell r="H246" t="str">
            <v>Q2</v>
          </cell>
        </row>
        <row r="247">
          <cell r="B247" t="str">
            <v>10.1080/1350293X.2022.2127822</v>
          </cell>
          <cell r="C247" t="str">
            <v>"ABSTRACT Early childhood years were believed to be a precious time to implement Science, Technology, Engineering, and Mathematics (STEM) education activities. Children can practice STEM-related skills and form their initial ideas about STEM professions. In this research, we aim to present an integrated STEM education curriculum for early childhood teachers, based on an engineering theme. We collected qualitative data through teachersâ€™ self-evaluation forms and reflective journals. Seven teachers implemented the curriculum with the participation of 105 children. Teachers mostly expected improvement in cognitive process outcomes before the implementation. Childrenâ€™s first reactions to the curriculum were curiosity and excitement. Cognitive process and social product outcomes were detailed and varied during and after the implementation of the curriculum. Teachers collaborated with their colleagues to plan and overcome the difficulties they encountered. The presented curriculum was found to be appropriate for implementation in early childhood settings. Further research was suggested to focus on the impact of the curriculum on childrenâ€™s skills."</v>
          </cell>
          <cell r="E247" t="str">
            <v>EDUCATION &amp; EDUCATIONAL RESEARCH</v>
          </cell>
          <cell r="F247" t="str">
            <v>Early childhood,preschool,STEM,engineering,curriculum,earlySTEM</v>
          </cell>
          <cell r="H247" t="str">
            <v>Q3</v>
          </cell>
        </row>
        <row r="248">
          <cell r="B248" t="str">
            <v>10.1080/13625187.2021.1906412</v>
          </cell>
          <cell r="C248" t="str">
            <v>"Abstract Objective Worldwide unmet need for contraception remains high at 21.6%. As access to health facilities is one of the potential barriers to contraceptive uptake, the aim of our study was to evaluate the effect of distance to a health facility, according to its service availability, on contraceptive uptake among married Turkish women. Methods To calculate respondentsâ€™ distance to a health facility, we used data from a household survey conducted among married women, as well as data from a health facility survey conducted among the facilities that were visited for contraceptive services by the respondents. The data were collected from the Istanbul area of Turkey under the Willows Impact Evaluation project in 2018. Health facilities were categorised according to contraceptive availability and the accurate distance from respondentsâ€™ homes to each type of health facility was calculated. Logistic regression was used to estimate the effect of distance to each type of health facility on uptake of each type of contraception. Results The prevalence of overall contraceptive use among urban Turkish women was 71.9%. The most common method was withdrawal (32.5%), followed by the intrauterine device (IUD) (14.9%) and male condoms (12.4%). Distance to a health facility that did not provide long-acting contraception was not associated with any type of contraceptive use. On the other hand, distance to a health facility that provided long-acting contraception was negatively associated with the use of long-acting methods such as the IUD but was positively associated with the use of short-acting contraception such as condoms. Conclusion The effect of distance to a health facility on contraceptive use significantly differed according to contraceptive availability at the facility. Further distance to a health facility that provided long-acting contraception decreased the use of long-acting contraception but had a substitute effect on the use of short-acting contraception. We conclude that when women face an accessibility barrier to the provision of long-acting contraception, they modify their behaviour by shifting from long- to short-acting contraception, which is less effective."</v>
          </cell>
          <cell r="E248" t="str">
            <v>OBSTETRICS &amp; GYNECOLOGY|PUBLIC, ENVIRONMENTAL &amp; OCCUPATIONAL HEALTH</v>
          </cell>
          <cell r="F248" t="str">
            <v>Access to services,contraceptive use,distance,Turkey</v>
          </cell>
          <cell r="H248" t="str">
            <v>Q4</v>
          </cell>
        </row>
        <row r="249">
          <cell r="B249" t="str">
            <v>10.1080/13625187.2021.1964466</v>
          </cell>
          <cell r="C249" t="str">
            <v>"Abstract Objective The primary aim of the study was to examine the relationship between self-reported ethnic identity, region of birth and contraceptive use, in Istanbul, Turkey. Methods Cross-sectional data from a random sample of 3038 married women of reproductive age living in two urban districts of Istanbul were used in a series of logistic regression models to assess key relationships. Results Kurdish ethnic minority women were less likely than Turkish ethnic majority women to use traditional contraceptive methods over no method (relative risk ratio [RRR] 0.69; 95% confidence interval [CI] 0.50, 0.96). However, there were no significant differences between ethnicities (i.e., Turkish, Kurdish and other) and modern method use. Among Turkish women, those born in regions farther away from the western region were more likely to use traditional methods (RRRnorthern 2.06; 95% CI 1.31, 3.22). Conclusion While Kurdish ethnic minority women were less likely to use traditional methods, compared with Turkish ethnic majority women, the difference might have been due to the length of time living in a neighbourhood. Regional variations in contraceptive use were concentrated only among Turkish ethnic majority women and for traditional methods. Regional norms of traditional method use may be a barrier to modern contraceptive use in Turkey."</v>
          </cell>
          <cell r="E249" t="str">
            <v>OBSTETRICS &amp; GYNECOLOGY|PUBLIC, ENVIRONMENTAL &amp; OCCUPATIONAL HEALTH</v>
          </cell>
          <cell r="F249" t="str">
            <v>Contraceptive use,ethnicity,health disparities,region of birth,Turkey</v>
          </cell>
          <cell r="H249" t="str">
            <v>Q4</v>
          </cell>
        </row>
        <row r="250">
          <cell r="B250" t="str">
            <v>10.1080/13629387.2021.1989586</v>
          </cell>
          <cell r="C250" t="str">
            <v>"ABSTRACT The role of maritime NGOs in the Mediterranean has increased, especially during the â€˜migration crisisâ€™, to compensate for EU member states, which are mostly hesitant to intervene and act in solidarity with each other despite being the main responsible actors for border controls. This article focuses on the case of Italy, which is one of the mostly affected countries from the flow of irregular migrants, especially from Libya. It analyses the securitisation of sea rescue NGOs, especially during the Lega-M5S coalition government (June 2018â€“September 2019), based on face-to-face in-depth elite and expert interviews conducted in 2019 with representatives of sea rescue NGOs, a UNHCR (United Nations High Commissioner for Refugees) representative in Italy, a mayor from southern Italy, and several Italian politicians in Rome. It is argued that sea rescue NGOs were securitised during this period, particularly in Italy, to become the new â€˜scapegoatsâ€™. In addition to Lega, one of the coalition partners, several other actors, such as Frontex (European Border and Frontier Agency) and the Italian media, were influential actors during this process. As long as political instability continues in Africa, particularly Libya, and the socioeconomic gap between Europe and Africa remains, sea rescue NGOs are not needed as a â€˜pull factorâ€™. Instead, migrants will go on risking their lives by making a very risky journey across African states before trying to cross the Mediterranean Sea to realise their â€˜European dreamâ€™."</v>
          </cell>
          <cell r="E250" t="str">
            <v>AREA STUDIES</v>
          </cell>
          <cell r="F250" t="str">
            <v>Italy,Mediterranean,Libya,sea rescue NGOs,irregular migration,securitisation</v>
          </cell>
          <cell r="H250" t="str">
            <v>Q2</v>
          </cell>
        </row>
        <row r="251">
          <cell r="B251" t="str">
            <v>10.1080/13664530.2022.2121747</v>
          </cell>
          <cell r="C251" t="str">
            <v>"ABSTRACT Teacher autonomy refers to a teacherâ€™s empowerment in the classroom, school, and community, leading to instructional efficacy and professionalism. Despite its proven contribution to pedagogical decision-making, studies reveal that many teachers lack sufficient autonomy mainly owing to institutional constraints. It is suggested that teachers embrace such restraints and become autonomous by initiating dialogic reflections with their colleagues and reaching contextualized decisions within a community of practice. So far, no study has explored how dialogic reflections can be performed among EFL (English as a Foreign Language) teachers. To fill the gap, the researcher investigated the process of dialogic reflections and explored whether it would affect the autonomy levels of Turkish EFL teachers. The data were collected through a teacher autonomy scale and by investigating the participantsâ€™ dialogic reflections. The results indicated that teacher autonomy levels increased thanks to social interdependence through collaborative decision-making."</v>
          </cell>
          <cell r="E251" t="str">
            <v>EDUCATION &amp; EDUCATIONAL RESEARCH</v>
          </cell>
          <cell r="F251" t="str">
            <v>Teacher education,teacher autonomy,dialogic reflections,community of practice</v>
          </cell>
          <cell r="H251" t="str">
            <v>Q3</v>
          </cell>
        </row>
        <row r="252">
          <cell r="B252" t="str">
            <v>10.1080/13676261.2023.2273346</v>
          </cell>
          <cell r="C252" t="str">
            <v>"The political participation of youth is growing in importance with the proliferation of youth parliaments, councils, and online campaigning. Yet, these sites are not accessible to all youth, especially those from minority, or refugee communities. Activism by these types of youth is often denounced or reduced to dehumanising narratives of their experiences. This paper aims to explore alternative spaces for and political participation of refugees through participatory art and exhibition spaces, which are critical for devising policies for pre-emptive peacebuilding and challenging potential intercommunal con ï¬‚ ict. In this paper, we draw on a Photovoice project in Istanbul, Johannesburg and a refugee settlement in South-West Uganda (Oruchinga) that brought youth from FDPs and host communities together to re ï¬‚ ect on their everyday experiences. All these sites are marked by increasing anti-refugee sentiments and xenophobia, where the voices of refugees are often denied and misinterpreted, making them compelling cases to elaborate on alternative participation methods and spaces for the political participation of refugees. The paper engages with the idea of epistemic (in)justice and resistance as an overarching condition to explore how the youth developed collective political voices."</v>
          </cell>
          <cell r="E252" t="str">
            <v>SOCIAL SCIENCES, INTERDISCIPLINARY</v>
          </cell>
          <cell r="F252" t="str">
            <v>Political participation,epistemic justice,refugee youth,participatory art</v>
          </cell>
          <cell r="H252" t="str">
            <v>Q2</v>
          </cell>
        </row>
        <row r="253">
          <cell r="B253" t="str">
            <v>10.1080/13698230.2019.1697843</v>
          </cell>
          <cell r="C253" t="str">
            <v>"ABSTRACT This paper reassesses theorizations of the basis of social unity in a polity, arguing that what I call the joint activity approach provides a more dynamic understanding of social unity as well as a more inclusive sense of solidarity. The paper begins by reconsidering the major alternatives in the history of political philosophy, as different views take different ties, bonds and relations as most fundamental to citizensâ€™ sense of unity and togetherness in society. In view of this plurality, the paper first sets up a distinction between conceptions of social unity that are based on the existence of shared or common grounds such as national identity (Kymlicka, Tamir, Miller), identification with the institutions of a polity (Mason), patriotic identification with the constitution (Habermas) or an agreement on the principles of justice (Rawls) as the source of citizensâ€™ sense of unity; and conceptions of social unity that rely on the joint and ongoing activities of citizens â€•productive (Durkheim and Marx) and political (Aristotle)â€•as their basis. Second, the paper evaluates the implications of these different theoretical conceptualizations of social unity for the issue of social inclusion, integration and solidarity. It argues that the former conceptions are similarly limited in their capacity for inclusive solidarity since all of them focus on what citizens already share in common without paying sufficient attention to the production of what they take to be shared in society. The paper contributes to the growing literature on solidarity by bringing the widely neglected joint activity view back to the debate."</v>
          </cell>
          <cell r="E253" t="str">
            <v>POLITICAL SCIENCE</v>
          </cell>
          <cell r="F253" t="str">
            <v>Social unity,solidarity,social inclusion,national identity,joint activity,productive cooperation</v>
          </cell>
          <cell r="H253" t="str">
            <v>Q3</v>
          </cell>
        </row>
        <row r="254">
          <cell r="B254" t="str">
            <v>10.1080/14606925.2022.2083365</v>
          </cell>
          <cell r="C254" t="str">
            <v>"Abstract Design capability has been accepted as a core innovation activity. It refers to the â€˜functionality/usabilityâ€™ and â€˜aestheticsâ€™ of new products or services. Oslo Manual 2018 explored design capability within the context of three significant fieldsâ€”industrial design, engineering design, design thinkingâ€”each of which is affected by the need to integrate design with business. Using this context as a basis, this study enhances the definition of design capability by integrating the communication aspect of industrial design with the creation of meaningful and aesthetic products. Key themes in design capability and innovation are visualized in â€˜Design Capability Model for Innovationâ€™ and reviewed via the investigation of a technology-follower companyâ€™s design capabilities. This case study reveals the evolution of a company towards being design-driven within the context of strategy, culture, technological capabilities, and cost limits; and aims to raise awareness of the value generated by innovative design."</v>
          </cell>
          <cell r="E254" t="str">
            <v>ART</v>
          </cell>
          <cell r="F254" t="str">
            <v>Design capability,innovation,industrial design,design thinking,design management,technology follower company</v>
          </cell>
          <cell r="H254" t="str">
            <v>Q1</v>
          </cell>
        </row>
        <row r="255">
          <cell r="B255" t="str">
            <v>10.1080/14616734.2023.2219657</v>
          </cell>
          <cell r="C255" t="str">
            <v>"ABSTRACT Mothersâ€™ emotion regulation, mental health, and feeling of helplessness in caring for their child may vary based on maternal attachment classifications. Particularly, insecure attachment and unresolved state of mind can act as risk factors. Therefore, we examined how emotion regulation strategies of suppression and cognitive reappraisal, maternal symptoms of depression and anxiety, and caregiving helplessness differ based on maternal attachment classifications in the Adult Attachment Interview (AAI). Fifty mothers of children in the early childhood (AgeRangeâ€‰=â€‰12-56â€‰months) completed a pack of questionnaires, including Emotion Regulation Questionnaire, Brief Symptom Inventory, and Caregiving Helplessness Questionnaire. Then AAI interview protocol was administered and coded. Mothers did not vary in emotion regulation strategies, indicating emotion regulation balance. However, mothers with secure/autonomous AAIs reported less anxiety than mothers whose AAIs were judged to show unresolved loss or unresolved trauma. The mothers who provided AAIs judged to be secure/autonomous scored lower in depression and caregiving helplessness than mothers whose AAIs were judged to show unresolved loss or unresolved trauma. To our knowledge, this is one of the first studies conducting AAI in Turkish mothers. We revealed the critical role of secure attachment for mental health and caregiving helplessness that can facilitate interventions targeting maternal attachment mind state."</v>
          </cell>
          <cell r="E255" t="str">
            <v>PSYCHOLOGY, DEVELOPMENTAL</v>
          </cell>
          <cell r="F255" t="str">
            <v>Unresolved,disorganized attachment,attachment state of mind,emotion regulation,caregiving helplessness,mental health</v>
          </cell>
          <cell r="H255" t="str">
            <v>Q2</v>
          </cell>
        </row>
        <row r="256">
          <cell r="B256" t="str">
            <v>10.1080/14680629.2020.1820895</v>
          </cell>
          <cell r="C256" t="str">
            <v>"Longitudinal joints existing in between the lanes of asphalt pavements may initiate deterioration. Traditionally, core density, deflection, and nuclear density tests are used for the quality control. However, such techniques may not suit to the surface at the joints to assess their condition. Alternatively, the ultrasonic surface wave (USW) methods have the potential to both assess the longitudinal joints and estimate the pavement thickness at the same time. In this study, the USW are investigated on two lab-scale asphalt slabs (one laboratory prepared, and the other is cut from an as-built pavement) and on an in-service asphalt pavement to develop an ultrasound-based assessment methodology. Initially, an empirical compaction model is developed to produce the custom-size slab with the desired air-void profile to mimic a pavement with joint. Then, a variety of coupling systems between the pavement and the ultrasonic transducers are trialed to determine the optimum one. The recorded data are processed to determine the dispersion in velocity and the attenuation, which are then interpreted to estimate the pavement thickness and assess the joint quality, respectively. The dispersion curve is found capable of determining the pavement thickness with a precision of 1â€‰cm, while the attenuation curve is observed to be affected by the transducer configuration excessively. Therefore, a normalisation technique, named the Fourier transmission coefficient (FTC), is implemented to reduce the undesired variability caused by the transducer coupling and type. Finally, it is demonstrated on an as-built pavement that the FTC has promising potential to detect, and hence evaluate the quality of longitudinal joints."</v>
          </cell>
          <cell r="E256" t="str">
            <v>CONSTRUCTION &amp; BUILDING TECHNOLOGY|ENGINEERING, CIVIL|MATERIALS SCIENCE, MULTIDISCIPLINARY</v>
          </cell>
          <cell r="F256" t="str">
            <v>Asphalt pavement joint assessment,pavement thickness evaluation,asphalt compaction calibration,dispersion and attenuation in ultrasonic surface waves,transmission coefficient,transducer coupling</v>
          </cell>
          <cell r="H256" t="str">
            <v>Q2</v>
          </cell>
        </row>
        <row r="257">
          <cell r="B257" t="str">
            <v>10.1080/14681366.2021.1913442</v>
          </cell>
          <cell r="C257" t="str">
            <v>"ABSTRACT Framed by MCDA, our study examines diachronic changes in gender representation in five New Headway Elementary (NHE) editions. Our findings demonstrate that NHEâ€™s gender representation is established on heteronormative binaries indicating bias against women in recreational, domestic, professional, and educational spaces despite few important attempts by the coursebook writers to address gender bias. Gender representation in recreational spaces is built on stereotypical discourses. At home, women mostly have nurturing roles while men are depicted as relaxing or playing with their children. At work, menâ€™s professional representation focuses solely on their professional career, whereas women are represented with reference to their domestic and caregiving roles. At school, men are presented as teaching and learning various subjects and sports, while women are mostly associated with teaching and learning languages and art only. In closing, we offer teachers three activities to develop learnersâ€™ critical awareness against gender discrimination while using NHE."</v>
          </cell>
          <cell r="E257" t="str">
            <v>EDUCATION &amp; EDUCATIONAL RESEARCH</v>
          </cell>
          <cell r="F257" t="str">
            <v>Diachronic analysis,gender representation,New Headway,multimodal critical discourse analysis,ELT coursebooks,LGBTQ+ representation,coursebook analysis</v>
          </cell>
          <cell r="H257" t="str">
            <v>Q2</v>
          </cell>
        </row>
        <row r="258">
          <cell r="B258" t="str">
            <v>10.1080/14683857.2020.1868816</v>
          </cell>
          <cell r="C258" t="str">
            <v>"ABSTRACT Electoral geography is mostly concerned with the geographic distribution of voters and their attributes. We add a new argument to the discussion about electoral geography: that parties pursue geographically oriented stronghold strategies. Parties win electoral provinces, transform them into strongholds, and then use the strongholdÂ´s resources to systematically target nearby provinces. We illustrate our argument with a quantitative analysis of the rise of the Turkish Adalet ve KalkÄ±nma Partisi (AKP), utilizing a spatial diffusion perspective. Our analysis shows that the AKP has electoral gains in a given â€˜receiverâ€™ province if they have performed well in other â€˜senderâ€™ provinces in previous elections. This relation is moderated by geographical distance: only past electoral success in nearby â€˜senderâ€™ provinces has an impact on the electoral fortune of the AKP in the â€˜receiverâ€™ province. Thus, our argument is that geography matters and it channels party strategies."</v>
          </cell>
          <cell r="E258" t="str">
            <v>AREA STUDIES</v>
          </cell>
          <cell r="F258" t="str">
            <v>Electoral geography,spatial diffusion,Turkish politics,pro-Islamist voting,AKP</v>
          </cell>
          <cell r="H258" t="str">
            <v>Q1</v>
          </cell>
        </row>
        <row r="259">
          <cell r="B259" t="str">
            <v>10.1080/14765284.2021.2009999</v>
          </cell>
          <cell r="C259" t="str">
            <v>"ABSTRACT This paper examines the effects of economic policy uncertainty on final energy consumption per capita in the panel dataset of 72 countries from 1960 to 2016. Economic policy uncertainty is captured by the World Uncertainty Indices (WUI). We firstly utilize the panel unit root tests with cross-sectional dependence to confirm the stationarity of the series. Secondly, we run various estimation techniques, such as fixed-effects, random-effects, and feasible generalized least squares. The results indicate that income is positively related to energy demand. However, a higher energy price decreases energy consumption, and the WUI is also negatively associated with energy consumption. These findings are robust to exclude the oil-exporter and the Organisation for Economic Co-operation and Development countries from the panel dataset. Finally, the Machado-Santos Silva quantile regression estimations show that the related effects of the income, energy price and the WUI on energy demand are valid at the different quantiles."</v>
          </cell>
          <cell r="E259" t="str">
            <v>ECONOMICS</v>
          </cell>
          <cell r="F259" t="str">
            <v>Energy consumption,energy demand model,economic policy uncertainty,world uncertainty index,oil-exporters,OECD countries</v>
          </cell>
          <cell r="H259" t="str">
            <v>Q2</v>
          </cell>
        </row>
        <row r="260">
          <cell r="B260" t="str">
            <v>10.1080/14783363.2019.1686971</v>
          </cell>
          <cell r="C260" t="str">
            <v>"This study investigates the extent to which hospitality employees are aware of their facial expression/emotion recognition abilities in interacting with customers. As a sign of satisfaction and service quality delivered, facial expressions and emotions may have significant implications. The study measured the actual emotion recognition abilities and their self-efficacy beliefs regarding their emotional abilities of 527 hospitality employees in Turkey. The results show that a significant proportion of hospitality employees are not fully aware of their facial expression/emotion recognition abilities and that many of them tend to inflate their abilities. The study has important implications in terms of employee efforts put into tasks (such as effort and concentration), self-development and training, and employee risk-taking behaviour in service encounters."</v>
          </cell>
          <cell r="E260" t="str">
            <v>MANAGEMENT</v>
          </cell>
          <cell r="F260" t="str">
            <v>service quality,self-efficacy beliefs,Dunning Kruger syndrome,emotional intelligence,emotion recognition,facial expression recognition,hospitality</v>
          </cell>
          <cell r="H260" t="str">
            <v>Q3</v>
          </cell>
        </row>
        <row r="261">
          <cell r="B261" t="str">
            <v>10.1080/15226514.2021.1892586</v>
          </cell>
          <cell r="C261" t="str">
            <v>"Abstract In this study, to determine whether having potential to be used as hyperaccumulator for Cd and Ni, numerous experiments were designed for conducting assessments for physiological and genotoxic changes along with defining possible alterations on mineral nutrient status of Lemna minor L. by applying Cd-Ni binary treatments (0, 100, 200 and 400â€‰ÂµM). Our study revealed that there were increases in the concentrations of B, Cr, Fe, K, Mg, and Mn whereas decreases were noticed in the concentrations of Na and Zn and the levels of Ca were inversely proportional to Cd-Ni applications showing tendency to increase at the low concentration and to decrease at the high concentration. Randomly Amplified Polymorphic DNA (RAPD) and Inter Simple Sequence Repeat (ISSR) analyses revealed that rather than band losses and new band formations, mostly intensity changes in the band profiles, and low polymorphism and high genomic template stability (GTS) were observed. Although, to date, L. minor was defined as an efficient hyperaccumulator/potential accumulator or competent phytoremedial agent by researchers. Our research revealed that L. minor showing high accumulation capability for Cd and having low polymorphism rate and high genomic template stability is a versatile hyperaccumulator, especially for Cd; therefore, highly recommended by us for decontamination of water polluted with Cd. NOVELTY STATEMENT Many studies have been focused on the effects of individual metal ions. However, heavy metal contaminants usually exist as their mixtures in natural aquatic environments. Especially, Cd and Ni coexist in industrial wastes. In this study, the accumulation properties of Lemna minor for both Cd and Ni were investigated and the effects of Cd and Ni on the bioaccumulation of B, Ca, Cu, Fe, Mg, K, Mn, Na, Pb and Zn in L. minor were also determined. This study furthermore aimed to assess the genotoxic effects of Cd and Ni found in being extended concentrations on DNA using the Randomly Amplified Polymorphic DNA-Polymerase Chain Reaction (RAPD-PCR) method."</v>
          </cell>
          <cell r="E261" t="str">
            <v>ENVIRONMENTAL SCIENCES</v>
          </cell>
          <cell r="F261" t="str">
            <v>Heavy metals,genotoxicity,nutritional elements,duckweed,RAPD-ISSR</v>
          </cell>
          <cell r="H261" t="str">
            <v>Q2</v>
          </cell>
        </row>
        <row r="262">
          <cell r="B262" t="str">
            <v>10.1080/15226514.2022.2059056</v>
          </cell>
          <cell r="C262" t="str">
            <v>"Abstract This research is to predict heavy metal levels in plants, particularly in Robinia pseudoacacia L., and soils using an effective artificial intelligence approach with some ecological parameters, thereby significantly eliminating common defects such as high cost and seriously tedious and time-consuming laboratory procedures. In this respect, the artificial neural network (ANN) is employed to estimate the concentrations of essential heavy metals such as Fe, Mn and Ni, depending on the Cu and Zn concentrations of plant and soil samples collected from five different locations. The derived relative errors for the constructed ANN model have been computed within the ranges 0.041â€“0.051, 0.017â€“0.025, and 0.026â€“0.029 for the training, testing and holdout data regarding Fe, Mn, and Ni, respectively. In addition, it has been realized that the relative errors could be diminished up to 0.007 for Fe, 0.014 for Mn and 0.022 for Ni by considering the Cu, Zn, location and plant parts as independent variables during the analysis. The results produced seem instructive and pioneering for environmentalists and scientists to design optimal study programs to leave a livable ecosystem. Novelty statement The levels of essential heavy metals, Fe, Mn, Ni, based on Zn and Cu in plant and soil samples have been predicted through an AI-based prediction model, a class of feedforward artificial neural networks (ANNs) with a multilayer perceptron (MLP). Thereby common drawbacks such as high cost and severely time-consuming laboratory procedures have been significantly eradicated. In the evaluation of different pollution levels at locations, it has been shown that the ANN method can overcome several disadvantages of analytical element analyzers to monitor the amounts of heavy metals such as Fe, Mn, and Ni in soil and plants."</v>
          </cell>
          <cell r="E262" t="str">
            <v>ENVIRONMENTAL SCIENCES</v>
          </cell>
          <cell r="F262" t="str">
            <v>Artificial neural network,essential heavy metal,network algorithm,plant location,plant part,prediction model</v>
          </cell>
          <cell r="H262" t="str">
            <v>Q2</v>
          </cell>
        </row>
        <row r="263">
          <cell r="B263" t="str">
            <v>10.1080/15226514.2023.2202241</v>
          </cell>
          <cell r="C263" t="str">
            <v>"Abstract Arundo donax and Phragmites australis were examined in 4 different periods (June and October for 2â€‰years), heavy metal and mineral element accumulations in plants were evaluated, and water-soil-plant relationships were revealed. Element distributions, bioaccumulation factors (BAF) and translocation factors (TF) in different parts of the investigated plant species were also determined. BAFs of elements calculated by using the concentration values in underground parts and sediment samples were between 1.02â€‰andâ€‰4.96. While the highest TF was determined as 8.07 for Zn between washed leaf and stem in A. donax, the lowest TF was determined as 0.05 for Fe between stem and underground part. Corresponding highest and lowest TFs for P. australis were 11.80 for Cu between washed leaf and stem, and 0.02 for Fe between stem and underground part, respectively. The results were supported by MANOVA statistical analyzes. Additionally, the macro-micro elements and heavy metal accumulation levels in the parts of the Orontes River ecosystem were significantly higher in the fall periods compared to the spring periods. Our research revealed that the versatile accumulation properties and high accumulation ability of A. donax for Cd, Cr, and Ni and of P. australis for Cd, Co, Cu, Ni, Pb, and Zn. NOVELTY STATEMENT The Orontes River passes through the regions of three different countries with high population density and developed economies. This study presents the current state of the relationship between the element types and their concentrations in the sediments in the Orontes River ecosystem and the ecophysiological parameters of the river. In this study, the focus was on the TÃ¼rkiye-Hatay region of the Orontes River, the water-soil-plant relationship in this region was revealed in detail, and valuable data were compiled for researchers who will conduct research on the river ecophysiology."</v>
          </cell>
          <cell r="E263" t="str">
            <v>ENVIRONMENTAL SCIENCES</v>
          </cell>
          <cell r="F263" t="str">
            <v>Common and Giant reed,hazardous levels,heavy metals,helophytes,nutritional elements</v>
          </cell>
          <cell r="H263" t="str">
            <v>Q2</v>
          </cell>
        </row>
        <row r="264">
          <cell r="B264" t="str">
            <v>10.1080/1536383X.2021.1994554</v>
          </cell>
          <cell r="C264" t="str">
            <v>"Abstract Carbon nanotubes have become widely used due to their superior physiochemical properties, and so knowledge of their toxicity has become important. In this study, the toxic effects of nanotubes on Caenorhabditis elegans have been investigated. Multi-walled carbon nanotubes were characterized by transmission electron microscopy and particle size analysis. Upon exposure to the nanotubes at concentrations of 100 to 500â€‰mg/L for 3 to 15â€‰days, numbers and body lengths of the nematodes were not altered, but body thickness was raised and body movements were slightly decreased. A new type of toxicity-reproduction assay was performed to see the effect of multi-walled carbon nanotubes. The circular-form aggregation of starved larvae was counted. The number of aggregations was reduced with the increasing nanotube concentration by âˆ¼27%. The concentration-dependent reduction was confirmed by counting the eggs in a single worm which demonstrated the negative effect of multi-walled carbon nanotubes on reproduction when the nematodes were subjected to prolonged exposure."</v>
          </cell>
          <cell r="E264" t="str">
            <v>CHEMISTRY, PHYSICAL|MATERIALS SCIENCE, MULTIDISCIPLINARY|NANOSCIENCE &amp; NANOTECHNOLOGY|PHYSICS, ATOMIC, MOLECULAR &amp; CHEMICAL</v>
          </cell>
          <cell r="F264" t="str">
            <v>Toxicity,Caenorhabditis elegans,Short Multi-Walled Carbon Nanotubes,reproduction,aggregation</v>
          </cell>
          <cell r="H264" t="str">
            <v>Q3</v>
          </cell>
        </row>
        <row r="265">
          <cell r="B265" t="str">
            <v>10.1080/15376516.2023.2259980</v>
          </cell>
          <cell r="C265" t="str">
            <v>"Abstract Nanoparticles (NPs) are particles of matter that are between 1 to 100â€‰nm in diameter. They are suggested to cause toxic effects in both humans and environment thorough different mechanisms. However, their toxicity profile may be different from the parent material. Titanium dioxide (TiO2) NPs are widely used in cosmetic, pharmaceutical and food industries. As a white pigment, the use of TiO2 is used in food coloring, industrial paints, clothing and UV filters has increased tremendously in recent years. Melatonin, on the other hand, is a well-known antioxidant and may prevent oxidative stress caused by a variety of different substances, including NPs. In the current study, we aimed to comparatively investigate the effects of normal-sized TiO2 (220â€‰nm) and nano-sized TiO2 (21â€‰nm) on cytopathology, cytotoxicity, oxidative damage (lipid peroxidation, protein oxidation and glutathione), genotoxicity (8-hydroxydeoxyguanosine), apoptosis (caspase 3, 8 and 9) and epigenetic alterations (global DNA methylation, H3 acetylation) on 3T3 fibroblast cells. In addition, the possible protective effects of melatonin, which is known to have strong antioxidant effects, against the toxicity of TiO2 were also evaluated. Study groups were: a. the control group; b. melatonin group; c. TiO2 group; d. nano-sized TiO2 group; e. TiO2 + melatonin group and f. nano-sized TiO2 + melatonin group. We observed that both normal-sized and nano-sized TiO2 NPs showed significant toxic effects. However, TiO2 NPs caused higher DNA damage and global DNA methylation compared to normal-sized TiO2 whereas normal-sized TiO2 led to lower H3 acetylation vs. TiO2 NPs. Melatonin showed partial protective effect against the toxicity caused by TiO2 NPs."</v>
          </cell>
          <cell r="E265" t="str">
            <v>TOXICOLOGY</v>
          </cell>
          <cell r="F265" t="str">
            <v>Titanium dioxide,nanoparticle,oxidative damage,epigenetic alterations,apoptosis</v>
          </cell>
          <cell r="H265" t="str">
            <v>Q2</v>
          </cell>
        </row>
        <row r="266">
          <cell r="B266" t="str">
            <v>10.1080/15391523.2021.1920518</v>
          </cell>
          <cell r="C266" t="str">
            <v>"Abstract Student engagement has become a challenge for K-12 students and teachers in online education during the COVID-19 pandemic. This study explored the factors underlying student engagement and the strategies teachers developed to engage students. Thematically analyzed interview data coming from 22 teachers and 20 students of public high schools revealed teachersâ€™ and studentsâ€™ similar perceptions of the factors affecting student engagement. The four themes identified were instructional and student related factors along with those related to the learning environment and policies. The teacher strategies for the facilitation of student engagement were instructional, managerial, and affective. Teachers also discussed which of these strategies were helpful in fostering student engagement."</v>
          </cell>
          <cell r="E266" t="str">
            <v>EDUCATION &amp; EDUCATIONAL RESEARCH</v>
          </cell>
          <cell r="F266" t="str">
            <v>Student engagement,K-12,online education,teacher strategies,pandemic</v>
          </cell>
          <cell r="H266" t="str">
            <v>Q1</v>
          </cell>
        </row>
        <row r="267">
          <cell r="B267" t="str">
            <v>10.1080/15391523.2021.1938301</v>
          </cell>
          <cell r="C267" t="str">
            <v>"Abstract Turkeyâ€™s Ministry of National Education started to establish makerspaces called Design and Skills Labs (DSLs) in every public school across Turkey by 2023. However, public school teachersâ€™ qualifications required for DSLs are not clear. This study aimed to find out the necessary competencies for educators in makerspaces, and public school teachersâ€™ competency-based needs in DSLs. Mixed methods research design was utilized in this study. First, interviews were held with professionals working in private and nonprofit makerspaces to explore and identify the necessary competencies. Following, a survey was designed and conducted with the teachers working in public schools to understand their competency-based needs. The results showed that educators in makerspaces mainly share technical, pedagogical and social skills as necessary competencies, and public school teachers should possess these skills that would improve the teaching/learning in DSL environments. This study would help improve teachersâ€™ professional development, as well as redesigning the educational policies in K-12 and tertiary education."</v>
          </cell>
          <cell r="E267" t="str">
            <v>EDUCATION &amp; EDUCATIONAL RESEARCH</v>
          </cell>
          <cell r="F267" t="str">
            <v>Cooperative/collaborative learning,informal learning,learning communities,teacher professional development</v>
          </cell>
          <cell r="H267" t="str">
            <v>Q1</v>
          </cell>
        </row>
        <row r="268">
          <cell r="B268" t="str">
            <v>10.1080/15391523.2023.2186987</v>
          </cell>
          <cell r="C268" t="str">
            <v>"Abstract This study aimed to investigate the blended teaching readiness of the EFL instructors (Nâ€‰=â€‰102) employed in an English preparatory school of a state university in Istanbul, Turkey. The study also aimed to explore the perceptions of the instructors about blended teaching practices. The quantitative data was collected from the Blended Teaching Readiness Scale (Archibald et al., 2021). The statistical analysis of the quantitative data (IBM SPSS 28) reported that the instructors were ready for blended teaching. Specifically, there was no significant difference between the blended teaching readiness and their education level apart from their teaching experience. Additionally, a significant correlation existed between the blended teaching readiness of the instructors and their ability to use the computer for teaching needs. Meanwhile, the qualitative data gathered through semi-structured interviews with the instructors (Nâ€‰=â€‰10) emphasized the importance of the theme, interaction, integration of face-to-face and online environments, needs and required skills, and teachersâ€™ beliefs for blended teaching readiness. The results of the study provide implications and suggestions for blended teaching in an EFL context."</v>
          </cell>
          <cell r="E268" t="str">
            <v>EDUCATION &amp; EDUCATIONAL RESEARCH</v>
          </cell>
          <cell r="F268" t="str">
            <v>Blended learning,blended teaching readiness,blended teaching competencies,EFL</v>
          </cell>
          <cell r="H268" t="str">
            <v>Q1</v>
          </cell>
        </row>
        <row r="269">
          <cell r="B269" t="str">
            <v>10.1080/15397734.2021.2013878</v>
          </cell>
          <cell r="C269" t="str">
            <v>"Abstract Based on doublet mechanics theory and various beam theories, this paper presents free vibration of axially loaded zigzag and armchair nanobeams. A two-noded higher order beam element is used to solve the problems of nanobeams with various boundary conditions. The verification studies in terms of fundamental frequencies and buckling loads are performed by comparing the results by the present model with Molecular Dynamic Simulations, Doublet Mechanics, and Eringenâ€™s nonlocal theory. The effects of material length scale parameter, slenderness ratio, nanotube model and boundary conditions on the fundamental frequencies of axially loaded nanobeams are investigated in details. Softening material behavior is detected for zigzag and armchair nanobeams. Having stiffer boundary conditions lead to the effect of material length scale parameter to be observed more prominently."</v>
          </cell>
          <cell r="E269" t="str">
            <v>MECHANICS</v>
          </cell>
          <cell r="F269" t="str">
            <v>Doublet mechanics,FEM,zigzag,armchair,buckling,vibration</v>
          </cell>
          <cell r="H269" t="str">
            <v>Q1</v>
          </cell>
        </row>
        <row r="270">
          <cell r="B270" t="str">
            <v>10.1080/1540496X.2022.2070002</v>
          </cell>
          <cell r="C270" t="str">
            <v>"ABSTRACT Income inequality is rising due to the risks and uncertainties related to the COVID-19 pandemic and other risks. This paper examines the effects of country risks (measured by economic/financial and political risks) and geopolitical risks on the income inequality in the panel dataset of 19 emerging market economies from 1985 to 2020. It is observed that all risk measures are positively related to income inequality. This evidence is also valid when different empirical models and estimation procedures are considered. The results are also robust for including various controls, excluding the extreme observations in the dataset, and considering the countries at the different income levels and regions."</v>
          </cell>
          <cell r="E270" t="str">
            <v>BUSINESS|ECONOMICS|INTERNATIONAL RELATIONS</v>
          </cell>
          <cell r="F270" t="str">
            <v>Country risks,financial risks,geopolitical risks,political risks,income inequality,emerging markets</v>
          </cell>
          <cell r="H270" t="str">
            <v>Q1</v>
          </cell>
        </row>
        <row r="271">
          <cell r="B271" t="str">
            <v>10.1080/15555240.2022.2114910</v>
          </cell>
          <cell r="C271" t="str">
            <v>"Abstract Working mothers experience a range of emotions associated with parenting while employed. Like all parents, working mothers experience both positive and negative emotions, often existing side-by-side. Despite considerable research into the struggles experienced by working mothers, little is known about negative emotions and their consequences for women. Feelings of employment-related guilt and regret over the decision to become a mother may arise when work and family responsibilities are demanding. However, individual resources may play a role in how mothers deal with negative emotions. The aim of the current study was to examine the role of resilience as a mediator between personality traits and negative emotions, psychological health, and well-being among working mothers. Participants of the study consisted of 320 working mothers with a mean age of 39.6. A proposed model was tested using path analysis in AMOS 21. According to the results of the present study, extraversion, neuroticism, and openness to experience are related to resilience; resilience is related to regret, depression, and life satisfaction. Resilience helps working mothers to deal with negative emotions related to well-being including stress, anxiety, depression, and life satisfaction."</v>
          </cell>
          <cell r="E271" t="str">
            <v>PUBLIC, ENVIRONMENTAL &amp; OCCUPATIONAL HEALTH</v>
          </cell>
          <cell r="F271" t="str">
            <v>Resilience,personality,guilt,regret,well-being</v>
          </cell>
          <cell r="H271" t="str">
            <v>Q3</v>
          </cell>
        </row>
        <row r="272">
          <cell r="B272" t="str">
            <v>10.1080/15575330.2022.2082705</v>
          </cell>
          <cell r="C272" t="str">
            <v>"This book brings together empirical research, theoretical perspectives, and implications for research, policy, and practice within Positive Youth Development (PYD) among the most stigma-tized and marginalized ethnic minority in Europe. The major aims are to (1) advance the theoretical and empirical knowledge base of PYD to address marginalized ethnic minority youth; (2) focus on large and underrepresented Roma ethnic minority groups around the globe, and (3) apply a strengths-based conception of adolescence (i.e. PYD) that sees all youth as having resources. Positive Youth Development scholarship has exploded within the social and health sciences, delineating the processes of optimal well-being, thriving and success among young people. PYD seeks to understand pathways to successful social and individual well-being, with psychological and health benefits to a range of developmental competencies among young people. This provides an excellent mix of empirical and theoretical"</v>
          </cell>
          <cell r="E272" t="str">
            <v>DEVELOPMENT STUDIES</v>
          </cell>
          <cell r="H272" t="str">
            <v>Q3</v>
          </cell>
        </row>
        <row r="273">
          <cell r="B273" t="str">
            <v>10.1080/15583058.2020.1771474</v>
          </cell>
          <cell r="C273" t="str">
            <v>"ABSTRACT The deterioration and the consequent collapse of historic timber structures lead to a significant loss of knowledge transfer of local construction methods and building technics. In this article, based on a case study of an exceptional timber frame structure in Istanbul dating from the end of the 19th century, is an attempt to provide documentation on the structure and materials of the specific building. The main objective is to underline the general structural system and materials as a reference. The case study covers the traditional characteristics such as local timber framework techniques and features of the transition era in construction and materials, with industrialized and standardized construction members."</v>
          </cell>
          <cell r="E273" t="str">
            <v>ARCHITECTURE|CONSTRUCTION &amp; BUILDING TECHNOLOGY|ENGINEERING, CIVIL</v>
          </cell>
          <cell r="F273" t="str">
            <v>Buyukada Orphanage,historical building materials,hybrid structures,multi-storey timber structures,Prinkipo Palace,timber construction,traditional construction methods</v>
          </cell>
          <cell r="H273" t="str">
            <v>Q2</v>
          </cell>
        </row>
        <row r="274">
          <cell r="B274" t="str">
            <v>10.1080/16168658.2021.1915449</v>
          </cell>
          <cell r="C274" t="str">
            <v>"In most natural science fields, triangular and trapezoidal fuzzy numbers are commonly used while in engineering and social science fields such as sociology and psychology while treating the uncertainties these numbers are not applicable and fuzzy numbers with more parameters and clear definitions of their arithmetic operations are needed. In order to fill this gap in the literature, we propose the new fuzzy arithmetic operations based on transmission average on pseudo-hexagonal fuzzy numbers, which was already implied in [1] in its rudimentary form and was finally presented in its fully fledged form in [2]. Several illustrative examples were given to show the accomplishment and ability of the proposed method. We present a new method for fuzzy system reliability analysis based on the fuzzy arithmetic operations of transmission average, where the reliabilities of the components of a system are represented by pseudo- hexagonal fuzzy numbers defined in the universe of discourse [0, 1]. The proposed method has the advantages of modeling and analyzing fuzzy system reliability in a more flexible and more intelligent manner. Finally, a marine power plant is considered in fuzzy environment. The reliability of components of the proposed model is considered as pseudo-hexagonal fuzzy numbers."</v>
          </cell>
          <cell r="E274" t="str">
            <v>MATHEMATICS, APPLIED</v>
          </cell>
          <cell r="F274" t="str">
            <v>Reliability analysis,fault tree analysis,pseudo-hexagonal fuzzy numbers,extension principle (EP),transmission average (TA)</v>
          </cell>
          <cell r="H274" t="str">
            <v>Q2</v>
          </cell>
        </row>
        <row r="275">
          <cell r="B275" t="str">
            <v>10.1080/16583655.2021.1978834</v>
          </cell>
          <cell r="C275" t="str">
            <v>"Nanostructure such as quaternary alloy offers an unprecedented opportunity for alloy composition control in a wide range, unavailable with traditional epitaxial film materials. The technique of chemical co-precipitation has been employed to synthesize the NiZnFe2O3 quaternary alloy nanostructure, which is cost-effective and friendly environmentally. The study of morphology for the mentioned NiZnFe2O3 quaternary alloy nanostructure is elaborated by scanning electron microscopy (SEM) to measure the grain size. The optical properties are investigated via UV-visible spectrophotometry (UV-vis) and Fourier-transform infrared spectroscopy (FTIR) to research the absorption, transmission, reflection and bandgap for the mentioned NiZnFe2O3 quaternary alloy nanostructure, also, for verifying optical dielectric constant and refractive index models using specific empirical models. The grains size and energy gap are investigated to recommend the suitability results for NiZnFe2O3 quaternary alloy nanostructure. Finally, Ravindra et al. models are an appropriate for potential application in optoelectronics."</v>
          </cell>
          <cell r="E275" t="str">
            <v>MULTIDISCIPLINARY SCIENCES</v>
          </cell>
          <cell r="F275" t="str">
            <v>Quaternary,morphology,optical</v>
          </cell>
          <cell r="H275" t="str">
            <v>Q2</v>
          </cell>
        </row>
        <row r="276">
          <cell r="B276" t="str">
            <v>10.1080/16583655.2023.2168335</v>
          </cell>
          <cell r="C276" t="str">
            <v>"The total mass attenuation coefficient of trichloride gadolinium has been investigated utilizing Geant4 compared with WinXCom simulation data at energies; 1â€“10â€‰MeV. The simulated results are used to calculate the total cross section, atomic and electronic cross sections. The aim of this work is to characterize new materials and their interactions with radiation in order to be able for using in shielding or detection. The GdCl3 is applied for superâ€“Kamiokande detector of neutrons. From our comparison study, it is found that the mass attenuation coefficient of GdCl3 with those of two detectors of X-ray (Si and CdTe) is very closed. Also, the total mass transfer attenuation coefficient increases as high energies increases at pairs effect production. From our comparison study, we can predict that GdCl3 can be a good detector of X-ray and concluded that this material has shown good interaction with electromagnetic radiations at high energies."</v>
          </cell>
          <cell r="E276" t="str">
            <v>MULTIDISCIPLINARY SCIENCES</v>
          </cell>
          <cell r="F276" t="str">
            <v>GdCl3,XRD,WinXCom,Geant4</v>
          </cell>
          <cell r="H276" t="str">
            <v>Q2</v>
          </cell>
        </row>
        <row r="277">
          <cell r="B277" t="str">
            <v>10.1080/16878507.2021.1957397</v>
          </cell>
          <cell r="C277" t="str">
            <v>"ABSTRACT Kyrgyzstan still suffers from the past practices of radioactive industry operated by the Soviet Union that caused significant impact on ecosystems in this region, especially related with storage of uranium in inadequate conditions. There are at least 50 abandoned sites used as radioactive waste dumps in the country. Due to the pressure of natural and anthropogenic reasons, the structural foundations of mine waste dumps are gradually losing their integrities. Here, particular interest of our research is to reveal current state of radioactive contamination and to make evaluation on the radiological impacts of pollution caused by uranium mine waste dump, one is situated near Kaji-Say Village in Issyk Kul Region-Kyrgyzstan. In this study, the leaf, stem, and root parts of Perovskia abrotanoides Kar. and their co-located soils as study materials collected from five different localities were used for investigation of existent alterations on element uptake and genetic material in the plant using ICP-MS and ISSR marker technique. Also, radioactivity readings were recorded using Geiger counter. The data showed that the levels of radiation (in mR/h) were found to be significantly high in comparison with normal acceptable limits. Uptake patterns of certain elements in P. abrotanoides grown in the uranium waste dump site were modified extensively as reductions and increments due to strong radioactive leakage in comparison with the control. Also, the results indicated that changes in ISSR profiles from exposed plant leaf samples included variation in band intensities, losses of normal bands, and the appearances of new bands compared to unexposed (control) plant leaf sample. Considering people living around the area where the research was conducted, the consequences of contamination as our data suggest could cause health problems through radioactive leakage."</v>
          </cell>
          <cell r="E277" t="str">
            <v>MULTIDISCIPLINARY SCIENCES</v>
          </cell>
          <cell r="F277" t="str">
            <v>Perovskia abrotanoides Kar,radioactive contamination,Kaji-say,Lake Issyk-kul,Kyrgyzstan</v>
          </cell>
          <cell r="H277" t="str">
            <v>Q3</v>
          </cell>
        </row>
        <row r="278">
          <cell r="B278" t="str">
            <v>10.1080/17411548.2022.2064157</v>
          </cell>
          <cell r="C278" t="str">
            <v>"ABSTRACT This study explores the representation of the other in relation to justice regardless of ethnicity in two Fatih AkÄ±n films: The Edge of Heaven and In The Fade. By addressing the potential effect of transnationalism on the narrative in both films in terms of the portrayal of the other and the self, this paper offers an alternative reading of the representation of justice as served by a westerner, albeit in different ways. Unlike most works on AkÄ±nâ€™s cinema, this paper aims to reveal whether AkÄ±nâ€™s films embrace the concept of western superiority against the other in the context of justice. To that end, this paper explores how the film characters, on their quest for justice, might reflect the directorâ€™s political view. The main analysis first examines the representation of the other, and then, the representation of justice as it relates to the main characters within the scope of transnationalism in both films and discusses how this problematizes the concepts of the other and the self."</v>
          </cell>
          <cell r="E278" t="str">
            <v>FILM, RADIO, TELEVISION</v>
          </cell>
          <cell r="F278" t="str">
            <v>Fatih Akin,Turkish-German cinema,transnationalism,othering,justice</v>
          </cell>
          <cell r="H278" t="str">
            <v>Q1</v>
          </cell>
        </row>
        <row r="279">
          <cell r="B279" t="str">
            <v>10.1080/17518423.2021.1917718</v>
          </cell>
          <cell r="C279" t="str">
            <v>"ABSTRACT In this study, we investigated the relationship of demographic variables with mental disorders generally encountered by the caregivers. The cohort includes 109 caregivers (38.53 Â± 9.62 year-old) of pediatric cerebral palsy patients (1â€“18 year-old) taken more than 3 months of caregiving. Data were obtained via face-to-face interviews and a 13-questioned survey followed by a statistical correlation with Zarit-Caregiver-Burden-Scale (Zarit-CBS), Beck Anxiety Inventory (BAI), and Beck Depression Inventory-II scores (BDI-II). BAI scores were lower in the case of collaborative caregiving (p = .034) and a better financial status (p = .045) but higher in families having more than 1 disabled child (p = .019). Zarit-CBS scores were significantly higher in caregiving mothers with older age (p = .027) and lower in families having only 1 disabled child (p = .025). Mental disorders related to caregiving are dependent on the burden directed on the caregivers and having collaboration decreases anxiety. Medical assistance should be provided to caregivers showing signs of a mental disorder."</v>
          </cell>
          <cell r="E279" t="str">
            <v>CLINICAL NEUROLOGY|PEDIATRICS|REHABILITATION</v>
          </cell>
          <cell r="F279" t="str">
            <v>Cerebral palsy,caregiver burden,anxiety,depression</v>
          </cell>
          <cell r="H279" t="str">
            <v>Q4</v>
          </cell>
        </row>
        <row r="280">
          <cell r="B280" t="str">
            <v>10.1080/17547075.2021.1966732</v>
          </cell>
          <cell r="C280" t="str">
            <v>"Abstract According to practice theory, practices or â€œdoingsâ€ that use designed products play a significant role in shaping daily life. Practice theory considers the workings of the dynamic two-way relationships between social structures and human agency. Accordingly, usersâ€™ routinized practices constitute a social structure that is commonly characterized by three elements: materials, such as tangible physical things, artifacts, and infrastructures; competencies, which include the know-how and â€œdoingâ€ of practice; and meanings, which encompass symbolic notions and emotions that are attached to the practices or artifacts. Adopting a practice theory approach, my article focuses on user practices around wringer-washers in Turkey, including materials, uses, meanings, and re-uses in the daily lives of Turkish women and families. Historical case studies of laundry practices with wringer-washers explicitly indicate how and under what circumstances user practices can emerge, endure, evolve, and transform into other practices. Prioritizing the involvement of designers, producers, and users in the coproduction of practice processes, I argue in this article that new designs and design innovations are inextricably linked with the user practices that they engender."</v>
          </cell>
          <cell r="E280" t="str">
            <v>ART</v>
          </cell>
          <cell r="F280" t="str">
            <v>practice theory,industrial design,innovation,materials,meaning,competence,wringer-washer</v>
          </cell>
          <cell r="H280" t="str">
            <v>Q1</v>
          </cell>
        </row>
        <row r="281">
          <cell r="B281" t="str">
            <v>10.1080/17843286.2021.1913388</v>
          </cell>
          <cell r="C281" t="str">
            <v>"ABSTRACT Objectives The objective of this study was to investigate associations between anemia with geriatric syndromes and comprehensive geriatric assessment (CGA) parameters in older women. Methods 886 older outpatient women were included. Anemia was defined as a hemoglobin concentration below 12 g/dL. patients were divided into two groups as anemic and non-anemic. The relationships between anemia and CGA parameters/geriatric syndromes were determined. Results The mean age of the participants was 76.00 Â± 8.91. The prevalence of patients with anemia was 15.35%. There was a significant difference between anemic and non-anemic groups in terms of age, Charlson Comorbidity Index, body mass index, the number of drugs used, and the presence of chronic renal failure (p &lt; 0.05). After adjustment for these covariates, anemia was associated with Timed Up and Go test (OR: 1.10, 95% CI: 1.02â€“1.18), muscle strength (OR: 0.99, 95% CI: 0.83â€“0.99), dynapenia (OR: 1.92, 95% CI: 1.06â€“3.47), Mini Nutritional Assessment scores (OR: 0.88, 95% CI: 0.83â€“0.94), poor nutritional status (OR: 1.97, 95% CI: 1.10â€“3.48), Fried scores (OR: 1.42, 95% CI: 1.24â€“1.68), frailty (OR: 2.58, 95% CI: 1.42â€“4.69), falls (OR: 1.78, 95% CI: 1.10â€“2.92) and polypharmacy (OR: 2.31, 95% CI: 1.38â€“3.86). Conclusion In the present study anemia was associated with frailty, polypharmacy, poor nutritional status, falls, and decreased muscle strength. Therefore, anemia may be a sign of poor health status in older women. When anemia is detected in an older woman, CGA should be strongly considered if not routinely performed."</v>
          </cell>
          <cell r="E281" t="str">
            <v>MEDICINE, GENERAL &amp; INTERNAL</v>
          </cell>
          <cell r="F281" t="str">
            <v>Anemia,dynapenia,falls,frailty,nutrition,older women,polypharmacy</v>
          </cell>
          <cell r="H281" t="str">
            <v>Q3</v>
          </cell>
        </row>
        <row r="282">
          <cell r="B282" t="str">
            <v>10.1080/17843286.2022.2116895</v>
          </cell>
          <cell r="C282" t="str">
            <v>"ABSTRACT Objective Sleep disorders including excessive daytime sleepiness (EDS), insomnia and anemia are both common. The aim of this study is to investigate associations between anemia and insomnia/EDS in the elderly. Methods A total of 744 older outpatients were included in this cross-sectional study. Anemia was defined as a hemoglobin concentration below 12 g/dL in females and &lt;13 g/dl in males. Patients were divided into two groups as anemic and non-anemic. The Epworth Sleepiness Scale score of â‰¥11 points indicates EDS. Insomnia Severity Index with scores of â‰¥8 indicates insomnia. Results The mean age was 79.8Â±7.7 years. The prevalence of insomnia, EDS and anemia was 62.1%, 23.8%, and 47.2%, respectively. Insomnia (66.3% vs 58.5%) and EDS (29.6% vs 18.6%) were more common in patients with anemia compared to those without anemia (p&lt;0.05). In univariate analysis, there were significant associations between anemia and insomnia [odds ratio (OR):1.4, 95% confidence interval (CI):1.0â€“1.9], and EDS (OR:1.8,95% CI:1.3â€“2.6). In multivariate analysis, the relationship between insomnia and nocturia, chronic obstructive pulmonary disease (COPD), and number of drugs used persisted, whereas being male, of an older age, coronary arterial disease, COPD, Parkinsonâ€™s disease, dementia, and urinary incontinence were associated with EDS (p&lt;0.05), but there was no significant relationships between anemia and insomnia/EDS (p&gt;0.05). Conclusion The present data suggests that an elderly who has anemia is 1.4 times more likely to experience insomnia and 1.8 times more likely to experience EDS than those without anemia."</v>
          </cell>
          <cell r="E282" t="str">
            <v>MEDICINE, GENERAL &amp; INTERNAL</v>
          </cell>
          <cell r="F282" t="str">
            <v>Anemia,excessive daytime sleepiness,insomnia,older adults</v>
          </cell>
          <cell r="H282" t="str">
            <v>Q3</v>
          </cell>
        </row>
        <row r="283">
          <cell r="B283" t="str">
            <v>10.1080/19338244.2022.2059751</v>
          </cell>
          <cell r="C283" t="str">
            <v>"Abstract The aims of this study were to compare the incidence of occupational accidents during one-year periods of the COVID-19 Pandemic and before the COVID-19 Pandemic, and to determine in which sectors occupational accidents occurred and what types of injuries were sustained in the population of Tokat, Turkey. A retrospective review was made of the records of Tokat State Hospital of patients injured in occupational accidents between 12.03.2019 and 11.03.2021. The patients injured in occupational accidents were classified according to age, gender, sector, accident type, trauma localization and type, time of the accident, and outcome of the injuries. Of 608 patients injured in occupational accidents, 384 (63.2%) were injured in the period before the pandemic and 224 (36.8%) were injured in the period during the pandemic (pâ€‰&lt;â€‰0.001). Most work-related injuries occurred in the industry sector (nâ€‰=â€‰287; 47.2%; pâ€‰&lt;â€‰0.001). Occupational accidents increased in the service sector (pâ€‰&lt;â€‰0.001), but decreased in other sectors. The increase in occupational accidents in the health sector (pâ€‰&lt;â€‰0.001) and transportation sector (pâ€‰&lt;â€‰0.05) within the service sector caused a general increase despite the decrease in other service sectors (pâ€‰&gt;â€‰0.05). In current study, the increase in the number of injuries in the transportation sector due to the increase of motor courier accidents, in health sector, and in pandemic quarantines were remarkable. It was evaluated that this narrow-scoped study pioneered comprehensive studies on the measures that can be taken to prevent occupational accidents in such pandemics in the future."</v>
          </cell>
          <cell r="E283" t="str">
            <v>ENVIRONMENTAL SCIENCES|PUBLIC, ENVIRONMENTAL &amp; OCCUPATIONAL HEALTH</v>
          </cell>
          <cell r="F283" t="str">
            <v>COVID-19,injury,occupational accidents,pandemic,sector</v>
          </cell>
          <cell r="H283" t="str">
            <v>Q4</v>
          </cell>
        </row>
        <row r="284">
          <cell r="B284" t="str">
            <v>10.1080/19361610.2021.1933323</v>
          </cell>
          <cell r="C284" t="str">
            <v>"Abstract Shoplifting is at serious retail crime for all retailers, which reduces profitability. This study investigates the extent and impact of shoplifting in shopping malls in Istanbul, Turkey. It specifically examines differences in the extent and impact of shoplifting by retail sector and shopping mall size and location. Data collection was based on 389 face-to-face interviews with store managers and shopping mall managers in Istanbul. The results revealed that shoplifting is a serious crime for all retail sectors and sizes of shopping malls. The implications for future studies and limitations of the current study are discussed."</v>
          </cell>
          <cell r="E284" t="str">
            <v>CRIMINOLOGY &amp; PENOLOGY</v>
          </cell>
          <cell r="F284" t="str">
            <v>Shoplifting,shopping malls,Turkey,store managers</v>
          </cell>
          <cell r="H284" t="str">
            <v>Q3</v>
          </cell>
        </row>
        <row r="285">
          <cell r="B285" t="str">
            <v>10.1080/19436149.2022.2127631</v>
          </cell>
          <cell r="C285" t="str">
            <v>"Abstract:\n In examining the transformations in statecraft, the existing scholarship on Turkish diaspora policies largely adopts Foucaultâ€™s governmentality perspective and suggests that the shifting policies reflect the home statesâ€™ attempt to assert control over citizens, not through coercion but rather through consent. While this framing has proved workable, it provides limited room for students of diaspora studies to incorporate the overall conceptualization on the resistance in which the non-resident citizens and countries of residence engage vis-Ã -vis home country politics and the potential failures of these policies. I propose to follow James Scottâ€™s legibility framework to emphasize that the home statesâ€™ evolving policies to engage with non-resident citizens is a social engineering project, aiming to facilitate the stateâ€™s ability to monitor and mold the behavior of mobile populations in the context of neoliberal globalization. I argue that the legibility framework allows us to analyze not only the standardization processes, but also the resistance against it both from the migrants and from their countries of residence. To make my argument, I employ the framework to the case of Turkey, which has received considerable attention since the mid-2010s. This article is based on archival research of Turkish state documents on emigration, empirical research conducted between 2013 and 2014 involving nearly 100 interviewees including Turkish state officials in Turkey and with migrant representatives in France and the United States, and further examination of secondary resources, including informal talks with policy makers and diaspora representatives in the post-2016 period."</v>
          </cell>
          <cell r="E285" t="str">
            <v>AREA STUDIES</v>
          </cell>
          <cell r="F285" t="str">
            <v>Diaspora engagement policies,diasporas,legibility,social engineering,Turkey</v>
          </cell>
          <cell r="H285" t="str">
            <v>Q2</v>
          </cell>
        </row>
        <row r="286">
          <cell r="B286" t="str">
            <v>10.1080/20464177.2022.2073805</v>
          </cell>
          <cell r="C286" t="str">
            <v>"Changes in the type of LNG trading has resulted in an increased demand for vessels with greater operational flexibility and efficient propulsion plants. This has led to the demand for the capability to re-liquefy boil-off-gas (BOG) and return it the cargo-tanks and sell it as cargo or burn BOG or fuel oils depending on the relative costs at the time. This allows energy companies to divert LNG to markets with high seasonal peak demand and take advantage of highest prices, yet still meet long-term SPA's. The research in this paper was conducted by means of qualitative data collection and subsequent analysis using market management tools to ascertain the technical viability. From this point, the data was fed into economic analysis to produce quantitative data that allowed for a determination for a final investment decision for a number of market scenarios. LNG carriers with re-liquefaction capability are positively differentiated from those without it. They are capable of greater operational flexibility, and as a result, their competitive position is improved. They can demand higher charter rates as the increase in cargo quantity offloaded results in increased revenue. They present a lower environmental footprint as there is no requirement to thermally oxidise excess BOG in a GCU. The analysis shows it is technically viable to retrofit a re-liquefaction plant onboard 150,000 m3 Dual Fuel Diesel Electric (DFDE) LNG carriers. The economic viability is more complicated, situation-dependent, and influenced by market forces, environmental legislation, and political interference."</v>
          </cell>
          <cell r="E286" t="str">
            <v>ENGINEERING, MARINE</v>
          </cell>
          <cell r="F286" t="str">
            <v>LNG,re-liquefaction,shipping,efficiency,marine engineering,economic viability,environment</v>
          </cell>
          <cell r="H286" t="str">
            <v>Q2</v>
          </cell>
        </row>
        <row r="287">
          <cell r="B287" t="str">
            <v>10.1080/20477724.2021.1927605</v>
          </cell>
          <cell r="C287" t="str">
            <v>"ABSTRACT The COVID-19 pandemic has brought countriesâ€™ health services into sharp focus. It was drawn to our groupâ€™s attention that healthcare workers (HCWs) had a lower mortality rate against higher COVID-19 incidence compared to the general population in Turkey. Since risk of exposure to tuberculosis bacillus among healthcare workers are higher than the population, we aimed to investigate if there is a relationship between BCG and Mycobacterium tuberculosis exposure history with COVID-19 severity in infected HCWs. This study was conducted with 465 infected HCWs from thirty-three hospitals to assess the relationship between COVID-19 severity (according to their hospitalization status and the presence of radiological pneumonia) and BCG and Mycobacterium tuberculosis exposure history. HCWs who required hospital admission had significantly higher rates of chronic diseases, radiological pneumonia, and longer working hours in the clinics. Higher rates of history of contact and care to tuberculosis patients, history of tuberculosis, and BCG vaccine were observed in hospitalized HCWs. HCWs who had radiological pneumonia had a significantly increased ratio of history of care to tuberculosis patients and a higher family history of tuberculosis. The findings from our study suggest that the lower mortality rate despite the more severe disease course seen in infected HCWs might be due to frequent exposure to tuberculosis bacillus and the mortality-reducing effects of the BCG vaccine."</v>
          </cell>
          <cell r="E287" t="str">
            <v>PARASITOLOGY|PUBLIC, ENVIRONMENTAL &amp; OCCUPATIONAL HEALTH|TROPICAL MEDICINE</v>
          </cell>
          <cell r="F287" t="str">
            <v>COVID-19,tuberculosis,BCG,healthcare workers,pneumonia,mortality</v>
          </cell>
          <cell r="H287" t="str">
            <v>Q1</v>
          </cell>
        </row>
        <row r="288">
          <cell r="B288" t="str">
            <v>10.1080/2090598X.2021.2010451</v>
          </cell>
          <cell r="C288" t="str">
            <v>"ABSTRACT Objectives To present data on the prevalence of benign prostatic hyperplasia (BPH) in five Middle Eastern countries (Egypt, Turkey, Kuwait, Saudi Arabia, and the United Arab Emirates; the latter three forming a Gulf cluster). Subjects and Methods The SNAPSHOT programme was a multi-country, cross-sectional epidemiological survey conducted by telephone in a random sample of the adult general population. Subjects were considered to have BPH if they fulfilled the screening criteria, based on diagnosis, symptoms, and treatments received in the past 12 months. Current prevalence (last 12 months) was estimated. Association with co-morbidities was investigated via multivariate logistic regressions. Quality of life (QoL) was assessed using the three-level EuroQol five-dimensions questionnaire (EQ-5D-3 L). Results In total, 5034 of 33,486 subjects enrolled in the SNAPSHOT programme were men aged â‰¥50 years. In all, 998 of these men fulfilled the BPH screening criteria. The overall prevalence of BPH ranged from 13.84% (95% confidence interval[CI] 12.3â€“15.4%) in Turkey, to 23.76% (95% CI 21.8â€“25.6%) in Egypt, and 23.79% (95% CI 21.2â€“26.3%) in the Gulf cluster. Co-morbidities occurred more frequently in men with BPH compared to the non-BPH population (57% vs 31%; P &lt; 0.001). Principal co-morbidities associated with BPH were cardiovascular, renal, and diabetes mellitus (P &lt; 0.001). The men with BPH reported significantly reduced QoL, with lower EQ-5D-3 L utility values (0.8) compared to the male general population (0.9) aged â‰¥50 years (P &lt; 0.001). Conclusion The prevalence of BPH in these five Middle Eastern countries ranges from 13.84% to 23.79%. BPH has a negative impact on QoL and is associated with high levels of co-morbid diseases, indicating a need to better understand the management of the disease to reduce the impact on healthcare systems."</v>
          </cell>
          <cell r="E288" t="str">
            <v>UROLOGY &amp; NEPHROLOGY</v>
          </cell>
          <cell r="F288" t="str">
            <v>Benign prostatic hyperplasia,prevalence,middle east,snapshot,quality of life,co-morbidity</v>
          </cell>
          <cell r="H288" t="str">
            <v>Q3</v>
          </cell>
        </row>
        <row r="289">
          <cell r="B289" t="str">
            <v>10.1080/23279095.2021.1951269</v>
          </cell>
          <cell r="C289" t="str">
            <v>"Abstract Online social network sites provide possibilities to enhance social relationships and engage in cognitive activities for older adults. The present study aimed to investigate the relationship between the use of one social network site, Facebook, and cognitive functions in older adults considering different dimensions of Facebook use together with different cognitive functions. Seventy healthy older adults completed the use of Facebook form, Multidimensional Scale of Perceived Social Support, and Social Network Index. Their cognitive functions were measured with Digit Span Tasks, Free and Cued Selective Reminding Test, Letter and Category Fluency Tests, Stroop Test, Digit Symbol Substitution Test, and Trail Making Test (TMT-A and TMT-B). After controlling for age, gender, education level, we found that Facebook users performed better on TMT-A compared to non-users. Among Facebook users, the length of having an account, the network size, the daily duration of use, and the frequency of active and passive use correlated with cognitive performance after controlling offline sociality. These findings, which need confirmation by experimental and longitudinal studies, suggested that being connected to a larger network via more prolonged and active use of social media might be associated with higher cognitive functioning."</v>
          </cell>
          <cell r="E289" t="str">
            <v>CLINICAL NEUROLOGY|PSYCHOLOGY</v>
          </cell>
          <cell r="F289" t="str">
            <v>Aging,cognitive functions,Facebook,social network sites</v>
          </cell>
          <cell r="H289" t="str">
            <v>Q4</v>
          </cell>
        </row>
        <row r="290">
          <cell r="B290" t="str">
            <v>10.1080/23279095.2021.2007482</v>
          </cell>
          <cell r="C290" t="str">
            <v>"Abstract We investigated age differences in mental time travel by comparing young, middle-aged and older adults, with equal number of participants in each age decade, from age 22 to 79. Participants generated and phenomenologically rated one experienced and one imagined past event, and two imagined future events. The results showed event type effects with richer phenomenology for experienced than imagined events, but no age group differences. Specifically, experienced events were more vivid, detailed, and were re-lived in the mind more than the other event types. All events were highly central to life, revealing no event type effects on centrality. For both past events, older age groups generated more distant events. There were no age group differences for temporal distance for the two future events. Both future events were from a near future. The results suggest that for events that are central to life, phenomenological experience may be similar across the adulthood."</v>
          </cell>
          <cell r="E290" t="str">
            <v>CLINICAL NEUROLOGY|PSYCHOLOGY</v>
          </cell>
          <cell r="F290" t="str">
            <v>Aging,phenomenological experience,mental time travel,autobiographical memory,counterfactual thinking,future simulation</v>
          </cell>
          <cell r="H290" t="str">
            <v>Q4</v>
          </cell>
        </row>
        <row r="291">
          <cell r="B291" t="str">
            <v>10.1088/1402-4896/abde5a</v>
          </cell>
          <cell r="C291" t="str">
            <v>"Abstract\nIn this work, two new nonlinear evolution equations arising from the B-type Kadomtsev-Petviashvili equation, called BKP-like equations, are investigated. The integration technique that used in this paper to determine the exact solutions of the equation is the generalized exponential rational function method. The examined models may be extended to diversify problems in natural phenomena, such as ocean waves. After applying the aforesaid method, abundant wave solutions are formally generated with some free parameters to exhibit various versions of propagations of traveling solitary waves. Notably, upon choosing appropriate values to free parameters, some kink and periodic waves are demonstrated in 3D figures and 2D contour plots. Most of all, the results show that free parameters drastically influence the existence of all kinds of traveling waves, including nature, profile, and stability. The method used in this paper can be easily adopted in other similar equations in mathematical physics."</v>
          </cell>
          <cell r="E291" t="str">
            <v>PHYSICS, MULTIDISCIPLINARY</v>
          </cell>
          <cell r="F291" t="str">
            <v>B-type Kadomtsev-Petviashvili equation,The generalized exponential rational function method,Symbolic computations,Ocean waves,Solitary wave solutions,Exact solutions</v>
          </cell>
          <cell r="H291" t="str">
            <v>Q2</v>
          </cell>
        </row>
        <row r="292">
          <cell r="B292" t="str">
            <v>10.1088/1402-4896/ac1ccf</v>
          </cell>
          <cell r="C292" t="str">
            <v>"In this article we aim to approximate linear time fractional advection diffusion equations (TFADE) with Atangana-Baleanu- Caputo(ABC) derivative using local meshless method and Laplace transformation(LT). The method comprises of three steps. In the first step the the time variable is eliminated using LT. In the second step the reduced problem is solved using local meshless method. In the third step the solution of TFADE with ABC derivative is retrieved from local meshless methods solution by representing it as Bromwich integral. We then approximate the integral using some suitable quadrature rule. The stability and convergence of the method are discussed. The local meshless method is utilized to overcome the ill-conditioning issue of the interpolation matrices in global meshless methods and to over come the shape parameters sensitivity. Also in comparison with time stepping methods the LT is employed and contour integration technique is utilized to deal with the ABC derivative, which circumvent the calculation of costly convolution integrals in the approximation of ABC derivative, and also avoids the effect of time step on the stability and accuracy. Some test problems are considered in one and two dimensions to validate the proposed numerical method. The two dimensional problem is solved in regular and irregular domains. The computational experiments confirms that this method is computationally efficient and highly accurate for such type of problems."</v>
          </cell>
          <cell r="E292" t="str">
            <v>PHYSICS, MULTIDISCIPLINARY</v>
          </cell>
          <cell r="F292" t="str">
            <v>linear advection-diffusion equations,Atangana-Baleanu-Caputo derivative,Laplace transform,local meshless method,quadrature rule</v>
          </cell>
          <cell r="H292" t="str">
            <v>Q2</v>
          </cell>
        </row>
        <row r="293">
          <cell r="B293" t="str">
            <v>10.1088/1402-4896/ac925f</v>
          </cell>
          <cell r="C293" t="str">
            <v>"Abstract\nThe Full Potential-Linearized Augmented Plane Wave (FP-LAPW) is employed into density functional theory (DFT) within WIEN2k package to explore and investigate the thermoelectric, mechanical, electronic and structural properties of full-Heusler alloys Li2BeX (XÂ =Â Si, Ge and Sn) were explored. The exchange and correlation potential are treated by different approximations: the generalized gradient approximation with Perdewâ€“Burkeâ€“Ernzerhof scheme (GGA-PBE) and Tranâ€“Blaha modified Beckeâ€“Johnson (mBJ-GGA). The results achieved for the electronic properties show that these compounds are semiconductor in nature with an indirect band gap, of values: 0.60 eV, 0.55 eV and 0.24 eV for Li2BeSi, Li2BeGe and Li2BeSn, respectively. In addition, these materials are mechanically stable owing to the fact that the conditions required for this mechanical stability satisfy Bornâ€™s criteria, and are of a brittle nature due to the calculated values of the ratios (B/G), on the other hand, these compounds are dynamically stable due to the non-presence of negative frequencies following the detailed study of phonons. These compounds are characterized by a high figure of merit (ZT) (close to unity) and high Seebeck coefficient (S), making them promising candidates for thermoelectric applications."</v>
          </cell>
          <cell r="E293" t="str">
            <v>PHYSICS, MULTIDISCIPLINARY</v>
          </cell>
          <cell r="F293" t="str">
            <v>full-heusler,phonon dispersion,thermoelectric applications,seebeck coefficient</v>
          </cell>
          <cell r="H293" t="str">
            <v>Q2</v>
          </cell>
        </row>
        <row r="294">
          <cell r="B294" t="str">
            <v>10.1088/1402-4896/acba5d</v>
          </cell>
          <cell r="C294" t="str">
            <v>"Abstract\nThe second stage, in which the star uses nuclear fuel in its interior, represents the helium burning phase. At that stage, three elements are synthesised: carbon, oxygen, and neon. This paper aims to establish a numerical solution for the helium burning system (HBN) fractal-fractional differential equations (FFDEs). The extended operative matrix method (OM) is employed in the solution of a system of differential equations. The product abundances of the four elements (helium, carbon, oxygen and neon) were obtained in a form of divergent series. These divergent series are then accelerated using Euler-Abell transformation (EUAT) and Pade approximation (EUAT-PA) to obtain more reliable results. Nine fractal-fractional (FF) gas models are calculated, and fractal-fractional parametersâ€™ influence on product abundances is discussed. The findings show that modeling nuclear burning networks with the OM fractal-fractional derivative produces excellent results, establishing it as an accurate, resilient, and trustworthy approach, and the fractional HB models can have a considerable impact on stellar model calculations."</v>
          </cell>
          <cell r="E294" t="str">
            <v>PHYSICS, MULTIDISCIPLINARY</v>
          </cell>
          <cell r="F294" t="str">
            <v>fractal-fractional derivatives,systems of fractal-fractional order differential equations,stellar helium burning network,operational matrix</v>
          </cell>
          <cell r="H294" t="str">
            <v>Q2</v>
          </cell>
        </row>
        <row r="295">
          <cell r="B295" t="str">
            <v>10.1088/1572-9494/ac4411</v>
          </cell>
          <cell r="C295" t="str">
            <v>"Abstract\nThe present paper deals with the Sharmaâ€“Tassoâ€“Olverâ€“Burgers equation (STOBE) and its conservation laws and kink solitons. More precisely, the formal Lagrangian, Lie symmetries, and adjoint equations of the STOBE are firstly constructed to retrieve its conservation laws. Kink solitons of the STOBE are then extracted through adopting a series of newly well-designed approaches such as Kudryashov and exponential methods. Diverse graphs in 2 and 3D postures are formally portrayed to reveal the dynamical features of kink solitons. According to the authorsâ€™ knowledge, the outcomes of the current investigation are new and have been listed for the first time."</v>
          </cell>
          <cell r="E295" t="str">
            <v>PHYSICS, MULTIDISCIPLINARY</v>
          </cell>
          <cell r="F295" t="str">
            <v>Sharma-Tasso-Olver-Burgers equation,conservation laws,Kudryashov and exponential methods,kink solitons,dynamical features</v>
          </cell>
          <cell r="H295" t="str">
            <v>Q2</v>
          </cell>
        </row>
        <row r="296">
          <cell r="B296" t="str">
            <v>10.1088/1572-9494/ac633e</v>
          </cell>
          <cell r="C296" t="str">
            <v>"Abstract\nStudying the dynamics of solitons in nonlinear time-fractional partial differential equations has received substantial attention, in the last decades. The main aim of the current investigation is to consider the time-fractional Sharmaâ€“Tassoâ€“Olverâ€“Burgers (STOB) equation in the Caputoâ€“Fabrizio (CF) context and obtain its valid approximations through adopting a mixed approach composed of the homotopy analysis method (HAM) and the Laplace transform. The existence and uniqueness of the solution of the time-fractional STOB equation in the CF context are investigated by demonstrating the Lipschitz condition for \n\n\n\nÏ†\n\n\n\nx\n,\nt\n;\nu\n\n\n\n\n\n as the kernel and giving some theorems. To illustrate the CF operator effect on the dynamics of the obtained solitons, several two- and three-dimensional plots are formally considered. It is shown that the mixed approach is capable of producing valid approximations to the time-fractional STOB equation in the CF context."</v>
          </cell>
          <cell r="E296" t="str">
            <v>PHYSICS, MULTIDISCIPLINARY</v>
          </cell>
          <cell r="F296" t="str">
            <v>time-fractional Sharma-Tasso-Olver-Burgers equation,Caputo-Fabrizio context,mixed approach,existence and uniqueness,valid approximations</v>
          </cell>
          <cell r="H296" t="str">
            <v>Q2</v>
          </cell>
        </row>
        <row r="297">
          <cell r="B297" t="str">
            <v>10.1088/1751-8121/ac3eba</v>
          </cell>
          <cell r="C297" t="str">
            <v>"Abstract\nIt is an established fact that quantum coherences have thermodynamic value. The natural question arises, whether other genuine quantum properties such as entanglement can also be exploited to extract thermodynamic work. In the present analysis, we show that the ergotropy can be expressed as a function of the quantum mutual information, which demonstrates the contributions to the extractable work from classical and quantum correlations. More specifically, we analyze bipartite quantum systems with locally thermal states, such that the only contribution to the ergotropy originates in the correlations. Our findings are illustrated for a two-qubit system collectively coupled to a thermal bath."</v>
          </cell>
          <cell r="E297" t="str">
            <v>PHYSICS, MATHEMATICAL|PHYSICS, MULTIDISCIPLINARY</v>
          </cell>
          <cell r="F297" t="str">
            <v>quantum thermodynamics,quantum correlations,ergotropy</v>
          </cell>
          <cell r="H297" t="str">
            <v>Q1</v>
          </cell>
        </row>
        <row r="298">
          <cell r="B298" t="str">
            <v>10.1089/jop.2020.0079</v>
          </cell>
          <cell r="C298" t="str">
            <v>"Purpose: To investigate the efficacy and safety of coadministered intravitreal dexamethasone (IVD) implant and silicone oil endotamponade during pars plana vitrectomy (PPV) for the treatment of proliferative diabetic retinopathy (PDR) with tractional diabetic macular edema (DME). Methods: In this prospective, controlled, and randomized clinical study, the eyes with PDR and vitreomacular traction syndrome that underwent PPV with silicone oil endotamponade were divided into 2 groups. Group 1 was defined as the control group, and no other procedures were performed. IVD was implanted to the eyes in Group 2. In both groups, panretinal photocoagulation was completed to the missed areas during PPV. All cases followed for 6 months, postoperatively. Retinal findings were followed with optical coherence tomography and fluorescein fundus angiography. Results: A total of 52 eyes of 52 patients were included in the study. Twenty-six eyes of 23 patients were included in both groups. The improvement in best corrected visual acuity was statistically significantly higher in Group 2 (Pâ€‰&gt;â€‰0.05). In the postoperative period, the DME development rate and intravitreal ranibizumab (IVR) injection requirement were significantly higher in Group 1 (Pâ€‰&gt;â€‰0.05). There was no statistically significant difference in the proliferative vitroretinopathy development rate between the groups (Pâ€‰&lt;â€‰0.05). Conclusion: Coadministration of IVD implant and silicone oil endotamponade to the eyes with PDR during vitrectomy seems to be safe and effective application and may decrease the rate of DME and the requirement of IVR injection."</v>
          </cell>
          <cell r="E298" t="str">
            <v>OPHTHALMOLOGY|PHARMACOLOGY &amp; PHARMACY</v>
          </cell>
          <cell r="F298" t="str">
            <v>proliferative diabetic retinopathy,diabetic macular edema,vitrectomy,dexamethasone,ranibizumab,silicone oil</v>
          </cell>
          <cell r="H298" t="str">
            <v>Q3</v>
          </cell>
        </row>
        <row r="299">
          <cell r="B299" t="str">
            <v>10.1089/lap.2023.0223</v>
          </cell>
          <cell r="C299" t="str">
            <v>"Background: Postoperative pain is one of the major problems after laparoscopic sleeve gastrectomy besides complications. Management of pain control is still unclear in the obese population. Modified BRILMA (blocking the cutaneous branches of intercostal nerves in the middle axillary line) is a new analgesia technique which is performed by ultrasonography guided through the way between eighth and ninth rib level. This study is to evaluate the efficiency of modified BRILMA in bariatric patients while comparing with trocar site infiltration. Materials and Methods: This is a prospective designed retrospective data analysis study. Patients undergoing laparoscopic sleeve gastrectomy between June 2019 and January 2020 were divided into two groups. One group underwent BRILMA block; the other group used traditional trocar site injection. Postoperative pain was followed by using visual analogue scale (VAS) (at 1, 3, 6, 12, 24, 36, 48 hours postoperatively). Results: Thirty patients were included in the study. Twenty-four (80%) of the patients were women, and 6 (20%) of the patients were men. Mean body mass index of patients were 39.83â€‰Â±â€‰4.02â€‰kg/m2. Mean operational time was calculated 86.16â€‰Â±â€‰19.94 minutes. When the patients' VAS was compared, 12th hour VAS value was statistically less in the BRILMA group. There were no significant differences in other hours' VAS between two groups. When compared with the use of opioid amount, there were no statistically significant difference between the two groups (Pâ€‰=â€‰.66), but BRILMA group had less amount. Conclusion: Modified BRILMA is an alternative technique to the use of trocar site bupivacain injection in bariatric surgery. It is new technique that is tried in bariatric population, which is also cost-effective and has less opioid consumption."</v>
          </cell>
          <cell r="E299" t="str">
            <v>SURGERY</v>
          </cell>
          <cell r="F299" t="str">
            <v>bariatric surgery,sleeve gastrectomy,nerve block,modified BRILMA</v>
          </cell>
          <cell r="H299" t="str">
            <v>Q3</v>
          </cell>
        </row>
        <row r="300">
          <cell r="B300" t="str">
            <v>10.1093/aje/kwac039</v>
          </cell>
          <cell r="C300" t="str">
            <v>"AbstractConsumption of ultra-processed foods (UPF) has increased worldwide during the last decades because they are hyperpalatable, cheap, and ready-to-consume products. However, uncertainty exists about their impact on health. We conducted a systematic review and meta-analysis evaluating the association of UPF consumption with all-cause mortality risk. Five bibliographic databases were searched for relevant studies. Random effects models were used to calculate pooled relative risks (RRs) and 95% confidence intervals (CIs). Of 6,951 unique citations, 40 unique prospective cohort studies comprising 5,750,133 individuals were included; publication dates ranged from 1984 to 2021. Compared with low consumption, highest consumption of UPF (RRÂ = 1.29, 95% CI: 1.17, 1.42), sugar-sweetened beverages (RRÂ = 1.11, 95% CI, 1.04, 1.18), artificially sweetened beverages (RRÂ = 1.14, 95% CI, 1.05, 1.22), and processed meat/red meat (RRÂ = 1.15, 95% CI, 1.10, 1.21) were significantly associated with increased risk of mortality. However, breakfast cereals were associated with a lower mortality risk (RRÂ = 0.85, 95% CI, 0.79, 0.92). This meta-analysis suggests that high consumption of UPF, sugar-sweetened beverages, artificially sweetened beverages, processed meat, and processed red meat might increase all-cause mortality, while breakfast cereals might decrease it. Future studies are needed to address lack of standardized methods in UPF categorization."</v>
          </cell>
          <cell r="E300" t="str">
            <v>PUBLIC, ENVIRONMENTAL &amp; OCCUPATIONAL HEALTH</v>
          </cell>
          <cell r="F300" t="str">
            <v>all-cause mortality,artificially sweetened beverages,breakfast cereals,processed meat,sugar-sweetened beverages,ultra-processed foods</v>
          </cell>
          <cell r="H300" t="str">
            <v>Q1</v>
          </cell>
        </row>
        <row r="301">
          <cell r="B301" t="str">
            <v>10.1093/asj/sjaa145</v>
          </cell>
          <cell r="C301" t="str">
            <v>"Abstract\n\nBackground\nHump recurrence is a commonly encountered problem following dorsal preservation (DP) rhinoplasty when surgeons are learning the procedure.\n\n\nObjectives\nThe aim of this paper was to compare the different methods for the prevention and treatment of dorsal problems following DP surgery.\n\n\nMethods\nOne hundred and fifty primary rhinoplasty patients were included in our study. Their noses were classified in terms of both hump shape (V- or S-shaped) and height. All patients had a DP rhinoplasty by either a push-down (PD) or a let-down (LD) technique. The PD method was used for humps &amp;lt;4 mm and the LD for humps &amp;gt;4 mm. Follow-up evaluations were made with physical examination and photographs at 1 week, 3 months, and 12 months.\n\n\nResults\nMean follow-up was 12.68 [1.78] months. Seventy-eight humps were V-shaped and 72 were S-shaped. PD was used for 67 cases, LD for 83 cases. Eight patients (5.3%, 8/150) had a visible dorsal hump problem after DP surgery. Based on their preoperative hump shape, 3 cases were V-shaped and 5 were S-shaped. All recurrent cases had a preoperative hump deformity &amp;gt;4 mm. The revision procedures were as follows: 4 patients had a PD procedure, 3 had a LD procedure, and 1 patient was treated by classic open resection rhinoplasty.\n\n\nConclusions\nThere is a correlation between preoperative hump height and eventual hump recurrence. The complication rate can be decreased with additional technical maneuvers and proper patient selection.\n\n\nLevel of Evidence: 4\n\n"</v>
          </cell>
          <cell r="E301" t="str">
            <v>SURGERY</v>
          </cell>
          <cell r="H301" t="str">
            <v>Q1</v>
          </cell>
        </row>
        <row r="302">
          <cell r="B302" t="str">
            <v>10.1093/bib/bbad205</v>
          </cell>
          <cell r="C302" t="str">
            <v>"Abstract\nIn only a few years, as a breakthrough technology, clustered regularly interspaced short palindromic repeats/CRISPR-associated protein (CRISPR/Cas) gene-editing systems have ushered in the era of genome engineering with a plethora of applications. One of the most promising CRISPR tools, so-called base editors, opened an exciting avenue for exploring new therapeutic approaches through controlled mutagenesis. However, the efficiency of a base editor guide varies depending on several biological determinants, such as chromatin accessibility, DNA repair proteins, transcriptional activity, factors related to local sequence context and so on. Thus, the success of genetic perturbation directed by CRISPR/Cas base-editing systems relies on an optimal single guide RNA (sgRNA) design, taking those determinants into account. Although there is 11 commonly used software to design guides specifically for base editors, only three of them investigated and implemented those biological determinants into their models. This review presents the key features, capabilities and limitations of all currently available software with a particular focus on predictive model-based algorithms. Here, we summarize existing software for sgRNA design and provide a base for improving the efficiency of existing available software suites for precise target base editing."</v>
          </cell>
          <cell r="E302" t="str">
            <v>BIOCHEMICAL RESEARCH METHODS|MATHEMATICAL &amp; COMPUTATIONAL BIOLOGY</v>
          </cell>
          <cell r="F302" t="str">
            <v>CRISPR base editors,sgRNA guide design,machine learning,deep learning</v>
          </cell>
          <cell r="H302" t="str">
            <v>Q1</v>
          </cell>
        </row>
        <row r="303">
          <cell r="B303" t="str">
            <v>10.1093/ejcts/ezac403</v>
          </cell>
          <cell r="C303" t="str">
            <v>"Abstract\n\n\nOBJECTIVES\nLeft main coronary artery disease (LMCAD) is considered an independent risk factor for clinical events after coronary artery bypass grafting (CABG). We have conducted a subgroup analysis of the multicentre European DuraGraft Registry to investigate clinical event rates at 1 year in patients with and without LMCAD undergoing isolated CABG in contemporary practice.\n\n\nMETHODS\nPatients undergoing isolated CABG were selected. The primary end point was the incidence of a major adverse cardiac event (MACE) defined as the composite of death, myocardial infarction (MI) or repeat revascularization (RR) at 1 year. The secondary end point was major adverse cardiac and cerebrovascular events (MACCE) defined as MACE plus stroke. Propensity score matching was performed to balance for differences in baseline characteristics.\n\n\nRESULTS\nLMCAD was present in 1033 (41.2%) and absent in 1477 (58.8%) patients. At 1 year, the MACE rate was higher for LMCAD patients (8.2% vs 5.1%, Pâ€‰=â€‰0.002) driven by higher rates of death (5.4% vs 3.4%, Pâ€‰=â€‰0.016), MI (3.0% vs 1.3%, Pâ€‰=â€‰0.002) and numerically higher rates of RR (2.8% vs 1.8%, Pâ€‰=â€‰0.13). The incidence of MACCE was 8.8% vs 6.6%, Pâ€‰=â€‰0.043, with a stroke rate of 1.0% and 2.4%, Pâ€‰=â€‰0.011, for the LMCAD and non-LMCAD groups, respectively. After propensity score matching, the MACE rate was 8.0% vs 5.2%, Pâ€‰=â€‰0.015. The incidence of death was 5.1% vs 3.7%, Pâ€‰=â€‰0.10, MI 3.0% vs 1.4%, Pâ€‰=â€‰0.020, and RR was 2.7% vs 1.6%, Pâ€‰=â€‰0.090, for the LMCAD and non-LMCAD groups, respectively. Less strokes occurred in LMCAD patients (1.0% vs 2.4%, Pâ€‰=â€‰0.017). The MACCE rate was not different, 8.5% vs 6.7%, Pâ€‰=â€‰0.12.\n\n\nCONCLUSIONS\nIn this large registry, LMCAD was demonstrated to be an independent risk factor for MACE after isolated CABG. Conversely, the risk of stroke was lower in LMCAD patients.\n\n\nClinical trial registration number\nClinicalTrials.gov NCT02922088.\n"</v>
          </cell>
          <cell r="E303" t="str">
            <v>CARDIAC &amp; CARDIOVASCULAR SYSTEMS|RESPIRATORY SYSTEM|SURGERY</v>
          </cell>
          <cell r="F303" t="str">
            <v>Left main disease,Coronary artery bypass grafting,Major adverse cardiac events,Endothelial damage inhibitor</v>
          </cell>
          <cell r="H303" t="str">
            <v>Q2</v>
          </cell>
        </row>
        <row r="304">
          <cell r="B304" t="str">
            <v>10.1093/imrn/rnac273</v>
          </cell>
          <cell r="C304" t="str">
            <v>"Abstract\nLet $({{\\mathcal {F}}}_n)_{n\\ge 0}$ be the standard dyadic filtration on $[0,1)$. Let ${\\mathbb {E}}_{{{\\mathcal {F}}}_n}$ be the conditional expectation from $ L_1=L_1[0,1)$ onto ${{\\mathcal {F}}}_n$, $n\\ge 0$, and let ${\\mathbb {E}}_{{{\\mathcal {F}}}_{-1}} =0$. We present the sharp estimate for the distribution function of the martingale transform $T$ defined by $$ \\begin{align*} Tf=\\sum_{m=0}^\\infty \\left( \\mathbb{E}_{\\mathcal{F}_{2m}} f-\\mathbb{E}_{\\mathcal{F}_{2m-1}}f \\right), ~f\\in L_1, \\end{align*}$$in terms of the classical CalderÃ³n operator. As an application, for a given symmetric function space $E$ on $[0,1)$, we identify the symmetric space $\\mathcal {S}_E$, the optimal Banach symmetric range of martingale transforms/Haar basis projections acting on $E$."</v>
          </cell>
          <cell r="E304" t="str">
            <v>MATHEMATICS</v>
          </cell>
          <cell r="H304" t="str">
            <v>Q2</v>
          </cell>
        </row>
        <row r="305">
          <cell r="B305" t="str">
            <v>10.1093/neuonc/noaa226</v>
          </cell>
          <cell r="C305" t="str">
            <v>"Abstract\n\nBackground\nWe and others have identified mutually exclusive molecular subgroups of meningiomas; however, the implications of this classification for clinical prognostication remain unclear. Integrated genomic and epigenomic analyses implicate unique oncogenic processes associated with each subgroup, suggesting the potential for divergent clinical courses. The aim of this study was to understand the associated clinical outcomes of each subgroup, as this could optimize treatment for patients.\n\n\nMethods\nWe analyzed outcome data for 469 meningiomas of known molecular subgroup, including extent of resection, postoperative radiation, surveillance imaging, and time to recurrence, when applicable. Statistical relationships between outcome variables and subgroup were assessed. Features previously associated with recurrence were further investigated after stratification by subgroup. We used Kaplanâ€“Meier analyses to compare progression-free survival, and identified factors significantly associated with recurrence using Cox proportional hazards modeling.\n\n\nResults\nMeningioma molecular subgroups exhibited divergent clinical courses at 2 years of follow-up, with several aggressive subgroups (NF2, PI3K, HH, tumor necrosis factor receptorâ€“associated factor 7 [TRAF7]) recurring at an average rate of 22 times higher than others (KLF4, POLR2A, SMARCB1). PI3K-activated tumors recurred earlier than other subgroups but had intermediate long-term outcome. Among low-grade tumors, HH and TRAF7 meningiomas exhibited elevated recurrence compared with other subgroups. Recurrence of NF2 tumors was associated with male sex, high grade, and elevated Ki-67. Multivariate analysis identified molecular subgroup as an independent predictor of recurrence, along with grade and previous recurrence.\n\n\nConclusion\nWe describe distinct clinical outcomes and recurrence rates associated with meningioma molecular subgroups. Our findings emphasize the importance of genomic characterization to guide postoperative management decisions for meningiomas.\n"</v>
          </cell>
          <cell r="E305" t="str">
            <v>CLINICAL NEUROLOGY|ONCOLOGY</v>
          </cell>
          <cell r="F305" t="str">
            <v>meningioma genomics,molecular subgroups,precision medicine,tumor prognosis</v>
          </cell>
          <cell r="H305" t="str">
            <v>Q1</v>
          </cell>
        </row>
        <row r="306">
          <cell r="B306" t="str">
            <v>10.1093/postmj/qgad092</v>
          </cell>
          <cell r="C306" t="str">
            <v>"Abstract\n\nBackground\nWe aimed to examine the cost-related prescribing performance of primary care physicians who had a higher versus lower tendency of arbitrary prescribing.\n\n\nMethods\nIn this cross-sectional study, we evaluated the prescriptions of primary care physicians in Istanbul, collected with 3:1 systematic sampling. We determined higher versus lower arbitrary prescribing by the physicianâ€™s degree of writing the solo diagnosis of â€œZ00- General examination without diagnosis/complaintâ€: those for whom such prescriptions constituted &amp;gt;5% were classified as Group A and those with them at &amp;lt;0.5% as Group B. We compared these two groups by the total and disease-specific drug costs per prescription they produced for 10 frequently encountered indications.\n\n\nResults\nThe median cost of disease-specific medication for all diagnoses in Group A and Group B, except anemia, was equal. In upper respiratory tract infections (URTIs), hypertension, anemia, diabetes, and conjunctivitis, the mean prescription costs of Group A were significantly higher than those of Group B (Pâ€‰&amp;lt;â€‰.001, Pâ€‰&amp;lt;â€‰.001, Pâ€‰=â€‰.009, Pâ€‰=â€‰.007, and Pâ€‰&amp;lt;â€‰.001, respectively), whereas disease-specific drug costs per prescription were similar (Pâ€‰&amp;gt;â€‰.05 in all diagnoses). In myalgia, Group A had lower cost per prescription (Pâ€‰&amp;lt;â€‰.001) and higher analgesic costs per prescription (Pâ€‰&amp;lt;â€‰.001) compared to those in Group B. We found significantly higher disease-specific drug cost share in Group B for URTIs (antibiotic), gastroesophageal reflux disease (gastric acidâ€“suppressant), hypertension (antihypertensive), anemia (iron preparations), diabetes (antidiabetic), depression (antidepressant), and conjunctivitis (corticosteroid) than those in Group A (Pâ€‰&amp;lt;â€‰.001 for each).\n\n\nConclusions\nOur study showed that physicians who had a higher tendency of prescribing for no clear indication are also more likely to produce costly prescriptions.\n"</v>
          </cell>
          <cell r="E306" t="str">
            <v>MEDICINE, GENERAL &amp; INTERNAL</v>
          </cell>
          <cell r="F306" t="str">
            <v>accurate diagnosis,arbitrary prescribing,pharmacoeconomics,health policy,rational drug use,primary care</v>
          </cell>
          <cell r="H306" t="str">
            <v>Q1</v>
          </cell>
        </row>
        <row r="307">
          <cell r="B307" t="str">
            <v>10.1097/BPB.0000000000000833</v>
          </cell>
          <cell r="C307" t="str">
            <v>"The prevalence of low-back pain (LBP) in adolescents ranges from 7 to 72%. We aimed to define the radiologic characteristics of the lumbar spine in children and adolescents with LBP with/without leg pain. Two hundred and fourteen children and adolescents, who were born between 2001 and 2009 and had lumbar spine MRI for LBP with/without leg pain, were evaluated in terms of intervertebral disc degeneration (IVDD), end-plates and paraspinal muscle changes on lumbar spine MRIs. Severe IVDD was detected at all lumbar levels except for L2â€“L3. Modic changes were present in 4.2% of the patients. Modic changes were more common in patients with severe IVDD than in those with mild-to-moderate IVDD. Severe IVDD was significantly associated with Modic changes at the corresponding L1â€“L2 and L3â€“L4 disc levels. Girls had significantly more fatty infiltration in the paraspinal muscles when compared to boys. The risk of having severe IVDD concomitant with Modic changes was high [odds ratio (OR), 8.6]. The OR was 20.7 for predicting the presence of severe IVDD at any level if Modic changes presented particularly at the L3â€“L4 level. The ORs of Modic changes presented at any lumbar level at the background of fat-infiltrated multifidus at L3â€“L4 and L4â€“L5 levels were 8.3 and 9.1, respectively. Fatty infiltration in the paraspinal muscles and IVDD were closely associated with Modic changes in children and adolescents with LBP. Lumbar IVDD in children and adolescents could be the result of a mechanical pathology."</v>
          </cell>
          <cell r="E307" t="str">
            <v>ORTHOPEDICS|PEDIATRICS</v>
          </cell>
          <cell r="F307" t="str">
            <v>alignment,degeneration,end-plate,intervertebral disc,paraspinal muscles</v>
          </cell>
          <cell r="H307" t="str">
            <v>Q4</v>
          </cell>
        </row>
        <row r="308">
          <cell r="B308" t="str">
            <v>10.1097/BSD.0000000000001258</v>
          </cell>
          <cell r="C308" t="str">
            <v>"\nStudy Design:\nThis was a narrative review.\n\n\nObjective:\nThe objective of this study was to review the standards of care and triage protocol for gunshot wounds to the spine, highlighting innovative future treatment options that may be implemented in patients with spinal cord injury (SCI).\n\n\nSummary of Background Data:\nWith the increased availability of firearms among the United States population, gunshot wounds to the spine are becoming a clinically relevant and devastating issue. Such injuries result in severe and diverse complications. SCIs due to gunshot wounds are the leading cause of morbidity and mortality, as they often result in complete or incomplete paraplegia. Current standards of care focus on preventing further damage rather than total cure or treatment of SCI.\n\n\nMethods:\nA literature review was performed on the standards of care, triage protocol, associated conditions, current therapeutic options, and innovative treatment options for patients with gunshot wounds to the spine.\n\n\nResults:\nThe general standards of care for spinal gunshot wounds involve maintaining or renewal of mechanical spinal steadiness and neurological activity while limiting complications of treatment. Current treatment options include management of mean arterial pressure goals, drug therapies consisting of antibiotics, and surgical approaches. With recent innovations in molecular biology and cell transplantation, potentially new and promising treatment options for patients with SCI exist. These options include cell transplantation therapies, platelet-rich plasma administration, exosomal treatments, and mitochondrial-targeted therapeutics. Stem cell transplantation is promising, as several clinical studies have been completed. However, loss-to-follow-up, lack of long-term evaluation, and questionable randomization has limited the use of stem cells in the standard of care practice. Although not studied on human models to a gunshot wound, exosomal and mitochondrial-based treatment options have been studied both in vitro and in animal models with SCI.\n\n\nConclusion:\nNewly emerging molecular and cellular therapy modalities for SCI contribute to the recovery process and may be utilized in conjunction with the current modalities for better outcomes.\n"</v>
          </cell>
          <cell r="E308" t="str">
            <v>CLINICAL NEUROLOGY|ORTHOPEDICS</v>
          </cell>
          <cell r="F308" t="str">
            <v>gunshot wounds,spine,current and investigational treatment,spinal cord injury,stem cell therapy,molecular therapies</v>
          </cell>
          <cell r="H308" t="str">
            <v>Q3</v>
          </cell>
        </row>
        <row r="309">
          <cell r="B309" t="str">
            <v>10.1097/COC.0000000000000825</v>
          </cell>
          <cell r="C309" t="str">
            <v>"\nBackground:\nTrastuzumab prolonged the overall survival in patients with advanced gastric cancer with human epidermal growth factor receptor 2 (HER2) overexpression in combination with chemotherapy. In this phase II open-label prospective study, the tolerability and safety of trastuzumab with chemotherapy, and chemoradiotherapy for curatively resected patients with HER2-positive gastric carcinoma was investigated.\n\n\nMethods:\nThe patients with HER2-positive gastric, or gastroesophageal junction adenocarcinoma, after gastrectomy plus D2 dissection, were included. They received 3 cycles of oxaliplatin (100â€‰mg/m2 intravenously day 1) plus capecitabine (850â€‰mg/m2 orally days 1 to 14), trastuzumab (8â€‰mg/kg intravenously day 1 in cycle 1, 6â€‰mg/kg thereafter) every 21 days, followed by chemoradiotherapy. Trastuzumab was given for 1 year.\n\n\nResults:\nOf the 212 patients screened, 35 were eligible, and 34 were treated. The median age was 56 years (minimum to maximum: 35 to 75â€‰y), male patients constituted 73.5% (n=25), and 33 (97.1%) had gastric adenocarcinoma. R0 resection was performed in 30 (88.2%). The majority (26, 61.7%) were in stage III disease. Most of the adverse events were grade I/II, the most frequent grade III side effects were nausea (3, 8.8%), vomiting (3, 8.8%), diarrhea (2, 5.9%), and weight loss (n=2, 5.9%). Two patients died during the first 3 cycles of chemotherapy and chemoradiotherapy; 1 secondary to pulmonary thromboembolism, and the other due to cerebral ischemia. After excluding 2 with early progression and 1 consent withdrawal, of the remaining 31 patients, 28 (90.3%) were able to complete the chemotherapy and chemoradiotherapy part of the trial. After the 25 months follow-up period, 21 patients (61.8%) were alive. Overall survival at 12 and 24 months was 75.0% and 58.0%, while disease-free survival at 12 and 24 months was 65.7% and 55.0%, respectively.\n\n\nConclusions:\nTrastuzumab in combination with capecitabine, oxaliplatin following chemoradiotherapy as the adjuvant therapy for gastric or gastroesophageal junction adenocarcinoma was considered as safe and tolerable. The frequency of HER2 overexpression in curatively resected patients is comparable to that in patients with metastatic disease (trial registration: clinicaltrials.gov the identifier: NCT01748773, December 13, 2012, https://clinicaltrials.gov/ct2/show/NCT01748773).\n"</v>
          </cell>
          <cell r="E309" t="str">
            <v>ONCOLOGY</v>
          </cell>
          <cell r="F309" t="str">
            <v>gastric,gastroesophageal,HER2,trastuzumab,gastrectomy,D2 dissection</v>
          </cell>
          <cell r="H309" t="str">
            <v>Q4</v>
          </cell>
        </row>
        <row r="310">
          <cell r="B310" t="str">
            <v>10.1097/CRD.0000000000000426</v>
          </cell>
          <cell r="C310" t="str">
            <v>"Atrial fibrillation (AF) is one of the most encountered arrhythmias in clinical practice. It is also estimated that the absolute AF burden may increase by greater than 60% by 2050. It is inevitable that AF will become one of the largest epidemics in the world and may pose a major health problem for countries. Although AF rarely causes mortality in the acute period, it causes a significant increase in mortality and morbidity, including a fivefold increase in the risk of stroke, a twofold increase in dementia, and a twofold increase in myocardial infarction in the chronic period. Despite all the advances in the treatment of AF, it is better understood day by day that preventing AF may play a key role in reducing AF and its related complications. Modification of the main modifiable factors such as quitting smoking, abstaining from alcohol, changing eating habits, and exercise seems to be the first step in preventing AF. The strict adherence to the treatment process of secondary causes predisposing to AF such as DM, hypertension, obesity, and sleep apnea is another step in the prevention of AF. Both an individual approach and global public health campaigns can be highly beneficial to reduce the risk of AF. In this review, we aimed to summarize the current evidence on the relationship between modifiable risk factors and AF, and the impact of possible interventions on these factors in preventing or reducing the AF burden in the light of recently published guidelines and studies."</v>
          </cell>
          <cell r="E310" t="str">
            <v>CARDIAC &amp; CARDIOVASCULAR SYSTEMS</v>
          </cell>
          <cell r="F310" t="str">
            <v>atrial fibrillation,prevention,modifiable risk factors,intervention</v>
          </cell>
          <cell r="H310" t="str">
            <v>Q3</v>
          </cell>
        </row>
        <row r="311">
          <cell r="B311" t="str">
            <v>10.1097/JS9.0000000000000259</v>
          </cell>
          <cell r="C311" t="str">
            <v>"\nObjectives:\nThe objective of the European Multicenter Registry to Assess Outcomes in coronary artery bypass grafting (CABG) patients (DuraGraft Registry) was to determine clinical outcomes and quality of life (QoL) after contemporary CABG that included isolated CABG and combined CABG/valve procedures, using an endothelial damage inhibitor (DuraGraft) intraoperatively for conduit preservation. Here, we report outcomes in the patient cohort undergoing isolated CABG.\n\n\nMethods:\nThe primary outcome was the composite of all-cause death, myocardial infarction (MI), or repeat revascularization (RR) [major adverse cardiac events (MACE)] at 1 year. Secondary outcomes included the composite of all-cause death, MI, RR, or stroke [major adverse cardiac and cerebrovascular events (MACCE)], and QoL. QoL was assessed with the EuroQol-5 Dimension questionnaire. Independent risk factors for MACE at 1 year were determined using Cox regression analysis.\n\n\nResults:\nA total of 2532 patients (mean age, 67.4Â±9.2 years; 82.5% male) underwent isolated CABG. The median EuroScore II was 1.4 [interquartile range (IQR), 0.9â€“2.3]. MACE and MACCE rates at 1 year were 6.6% and 7.8%, respectively. The rates of all-cause death, MI, RR, and stroke were 4.4, 2.0, 2.2, and 1.9%, respectively. The 30-day mortality rate was 2.3%. Age, extracardiac arteriopathy, left ventricular ejection fraction less than 50%, critical operative state, and left main disease were independent risk factors for MACE. QoL index values improved from 0.84 [IQR, 0.72â€“0.92] at baseline to 0.92 [IQR, 0.82â€“1.00] at 1 year (P&lt;0.0001).\n\n\nConclusion:\nContemporary European patients undergoing isolated CABG have a low 1-year clinical event rate and an improved QoL.\n"</v>
          </cell>
          <cell r="E311" t="str">
            <v>SURGERY</v>
          </cell>
          <cell r="F311" t="str">
            <v>clinical outcomes,coronary artery bypass grafting,endothelial damage inhibitor,quality of life,saphenous vein graft</v>
          </cell>
          <cell r="H311" t="str">
            <v>Q1</v>
          </cell>
        </row>
        <row r="312">
          <cell r="B312" t="str">
            <v>10.1097/MCA.0000000000000986</v>
          </cell>
          <cell r="C312" t="str">
            <v>"\nObjective\nPercutaneous coronary intervention (PCI) with new-generation drug-eluting stents (DESs) may provide survival benefits to the cancer population undergoing PCI by expediting cancer treatment due to improved safety profile. We aimed to assess the safety of starting or resuming cancer treatment within 6 months of DES placement. We also compared the impact of different DES types on the overall survival (OS) in cancer patients and to identify a safe threshold for dual antiplatelet therapy (DAPT) discontinuation.\n\n\nMethods\nCancer patients at our institution undergoing PCI with DES from December 2014 to June 2017 were included. Baseline demographics, DAPT duration, malignancy type, stage, and treatment were retrospectively analyzed. Univariate Cox regression was used to pinpoint baseline characteristics that correlated with OS. Survivorship was determined by Kaplanâ€“Meier analysis, and the log-rank test was used to compare OS among DES types.\n\n\nResults\nSeventy-five patients were included. Of these, 45 had biodegradable polymer DES (Synergy) and 30 patients had durable polymer DES (Resolute Integrity, Xience, Ion, or Promus). Mean duration of follow-up was 1367 Â± 334 days. There were two minor bleeding complications. No statistically significant differences in OS were found among different stent brands. Discontinuation of aspirin, early P2Y12 inhibitor discontinuation, and advanced cancer were significantly associated with OS. DAPT discontinuation &lt;6 months after PCI was not associated with stent thrombosis or in-stent restenosis. There were two major adverse cardiac events: one in-stent restenosis while on DAPT for &gt;12 months (attributed to radiation-induced heart disease) and one myocardial infarction and death. Of patients who resumed or started cancer treatment (chemotherapy, radiation therapy, or surgery) after PCI, all but one did so within 6 months of PCI, and most of them as early as 2 weeks.\n\n\nConclusion\nPatients may resume cancer treatment &lt;6 months after PCI. We suggest that DAPT may be safely interrupted as early as 6 months, but additional longitudinal studies are needed.\n"</v>
          </cell>
          <cell r="E312" t="str">
            <v>CARDIAC &amp; CARDIOVASCULAR SYSTEMS</v>
          </cell>
          <cell r="F312" t="str">
            <v>bioresorbable polymer everolimus eluting synergy stent,cardio-oncology,cancer,drug-eluting stents,dual antiplatelet therapy,percutaneous coronary intervention,major adverse cardiac events</v>
          </cell>
          <cell r="H312" t="str">
            <v>Q4</v>
          </cell>
        </row>
        <row r="313">
          <cell r="B313" t="str">
            <v>10.1097/MD.0000000000027712</v>
          </cell>
          <cell r="C313" t="str">
            <v>"\nAbstract\nThe aim of this study was to investigate the predictive and prognostic value of PLR, and the relationship between PLR and tumor localization.\nA total of 229 patients with de-novo metastatic CRC were retrospectively analyzed. The cutoff value for PLR was defined by the receiver operating characteristic (ROC) curve analysis and threshold value of 196.5 as best cut-off value was found.\nThe higher rate of BRAF mutation was significantly detected for patients with PLRhigh (&gt; 196.5) compared to those with PLRlow (â‰¤196.5) (Pâ€Š=â€Š.001). PLR was significantly higher in tumors located on the right colon (Pâ€Š=â€Š.012). PLR, tumor localization, the presence of surgery for primary tumor, the presence of curative surgery, the presence of metastasectomy for progression-free survival (PFS) and PLR, gender, BRAF mutation, tumor localization, the presence of surgery for primary tumor, the presence of metastasectomy for overall survival (OS) were found to be prognostic factors by univariate analysis. Multivariate analysis showed that PLR, the presence of curative surgery and the presence of metastasectomy for both PFS and OS were found to be independent prognostic factors. Moreover, a logistic regression analysis indicated that PLR and tumor localization were found to be an independent factors for predicting response to systemic treatment (Pâ€Š&lt;â€Š.001 and Pâ€Š=â€Š.023 respectively).\nOur results showed that pretreatment PLR was readily feasible and simple biomarker predicting response to treatment and survival, in addition it was significantly associated with tumor localization.\n"</v>
          </cell>
          <cell r="E313" t="str">
            <v>MEDICINE, GENERAL &amp; INTERNAL</v>
          </cell>
          <cell r="F313" t="str">
            <v>metastatic colorectal cancer,platelet-to-lymphocyte ratio,prognostic factor,survival,treatment response</v>
          </cell>
          <cell r="H313" t="str">
            <v>Q3</v>
          </cell>
        </row>
        <row r="314">
          <cell r="B314" t="str">
            <v>10.1097/MD.0000000000030544</v>
          </cell>
          <cell r="C314" t="str">
            <v>"Donor anatomy is an essential part of donor selection and operative planning in living donor liver transplantation. In this study, variations of hilar structures, and the effects of variant anatomy on donor and recipient outcomes were evaluated. Living donor liver transplantations in a single center between January 2013 and December 2020 were retrospectively reviewed. In total, 203 liver transplantations were analyzed. Type 1 arterial anatomy, type 1 portal vein anatomy and type 1 bile duct anatomy were observed in 144 (70.9%), 173 (85.2%), and 129 (63.5%) donors, respectively. Variant biliary anatomy was observed more frequent in donors with variant portal vein branching than in those with type 1 portal anatomy (60.0% vs 32.3%, Pâ€…=â€….004). The overall survival rates calculated for each hilar structure were similar between recipients receiving grafts with type 1 anatomy and those receiving grafts with variant anatomy. When donors with variant anatomy and donors with type 1 anatomy were compared in terms of hilar structure, no significant difference was observed in the frequency of complications and the frequency of serious complications. Biliary variations are more common in individuals with variant portal vein anatomy. Donor anatomic variations are not risk factors for inferior results of recipient survival or donor morbidity."</v>
          </cell>
          <cell r="E314" t="str">
            <v>MEDICINE, GENERAL &amp; INTERNAL</v>
          </cell>
          <cell r="F314" t="str">
            <v>anatomy,liver transplantation,living donor,outcomes</v>
          </cell>
          <cell r="H314" t="str">
            <v>Q3</v>
          </cell>
        </row>
        <row r="315">
          <cell r="B315" t="str">
            <v>10.1097/MD.0000000000030609</v>
          </cell>
          <cell r="C315" t="str">
            <v>"\nBackground:\nThe emergence of new severe acute respiratory syndrome coronavirus 2 variants, along with the waning of vaccine-induced immunity, has increased breakthrough infections and urged booster jabs and debates. In the short term, the administration of booster doses has been reported to be safe and enhance severe acute respiratory syndrome coronavirus 2â€“specific neutralizing antibody levels. However, the effects of these doses on the pandemic trajectory and herd immunity are unclear. There is insufficient evidence that a third booster shot of the coronavirus disease 2019 (COVID-19) vaccine maintains longer immunity and covers new viral variants. The lack of sufficient evidence, combined with the fact that millions of people have not yet received 1 or 2 jabs of the COVID-19 vaccine, has raised concerns regarding the call for booster vaccinations.\n\n\nMethods:\nWe conducted a quick scoping review to explore the literature on the need for a booster COVID-19 vaccination from January 1, 2021, to April 30, 2022.\n\n\nResults:\nSixty-one relevant publications were identified, of which 17 were related to waning immunity after 2 doses of the vaccine among the general population or healthcare workers, 19 were related to the third or booster dose of vaccination after the second dose among the general population or healthcare workers, and 25 were related to booster dose among immunocompromised patient.\n\n\nConclusions:\nInitially, the need for a booster dose was equivocal; however, several studies demonstrated the benefit of the booster dose over time. Adequate scientific information is required regarding the administration of booster doses to the general population as well as the high-risk individuals.\n"</v>
          </cell>
          <cell r="E315" t="str">
            <v>MEDICINE, GENERAL &amp; INTERNAL</v>
          </cell>
          <cell r="F315" t="str">
            <v>booster dose,COVID-19,immunogenicity,safety,SARS-CoV-2,vaccination,viral variants of concern</v>
          </cell>
          <cell r="H315" t="str">
            <v>Q3</v>
          </cell>
        </row>
        <row r="316">
          <cell r="B316" t="str">
            <v>10.1097/MEG.0000000000002110</v>
          </cell>
          <cell r="C316" t="str">
            <v>"\nBackground and aim\nThere is still no approved pharmacotherapy for metabolic (dysfunction) associated fatty liver disease (MAFLD). Although dietary and lifestyle modifications for weight loss remain the mainstay for disease management, the association between macro- and micronutrients and fibrosis stage in patients with MAFLD remains unclear. This study was undertaken to address this issue.\n\n\nMethods\nThis is a retrospective analysis of prospectively collected data from patients in whom MAFLD was diagnosed with vibration controlled transient elastography. Steatosis was defined by a controlled attenuation parameter â‰¥238 dB/m, whereas a liver stiffness measurement â‰¥11 kPa was considered to indicate advanced fibrosis.\n\n\nResults\nThe study sample consisted of 106 patients with MAFLD (mean age 49 Â± 10 years, 52 men and 54 women). Among the different micro- and macronutrients tested, only the dietary intake of cholesterol and saturated fatty acid (SFA) was independently associated with the presence of advanced fibrosis.\n\n\nConclusion\nOur findings suggest that cholesterol/SFA-restricted dietary regimens â€“ as exemplified by the traditional Mediterranean diet â€“ may reduce the risk of advanced fibrosis in patients with MAFLD.\n"</v>
          </cell>
          <cell r="E316" t="str">
            <v>GASTROENTEROLOGY &amp; HEPATOLOGY</v>
          </cell>
          <cell r="F316" t="str">
            <v>fibrosis,metabolic (dysfunction) associated fatty liver disease,nutrition,screening</v>
          </cell>
          <cell r="H316" t="str">
            <v>Q4</v>
          </cell>
        </row>
        <row r="317">
          <cell r="B317" t="str">
            <v>10.1097/MPH.0000000000002055</v>
          </cell>
          <cell r="C317" t="str">
            <v>"\nBackground:\nTotal body irradiation (TBI) is the cornerstone of conditioning regimens in pediatric hematopoietic stem cell transplantation for acute lymphoblastic leukemia. As the late effects and survival comparison between TBI and chemotherapy were well analyzed before, in this study, we aim to focus on the first 100 days and early complications of transplantation.\n\n\nMethods:\nThis retrospective study involves 72 pediatric patients (0 to 18â€‰y) underwent first hematopoietic stem cell transplantation for acute lymphoblastic leukemia between October 2015 and May 2019. Patients are divided into 2 groups regarding conditioning regimens. Conditionings includes either TBI 1200â€‰cGy/6 fractions/3 days and etoposide phosphate or busulfan, fludarabine, and thiotepa. Busulfan was administered IV and according to body weight.\n\n\nResults:\nThe incidences of acute graft versus host disease grade 2 to 4, veno-occlusive disease, capillary leakage syndrome, thrombotic microangiopathy, blood stream infection, hemorrhagic cystitis and posterior reversible encephalopathy syndrome before day 100 were similar for both conditioning regimens; however, patients received TBI-based conditioning had significantly longer neutrophil engraftment time (17.5 vs. 13â€‰d, P=0.001) and tended to have more engraftment syndrome (ES) (45.5% for TBI vs. 24.0% for chemotherapy, P=0.069). Multivariate analysis showed that TBI-based conditioning was associated with a longer neutrophil engraftment time (hazard ratio [HR]=1.20, P=0.006), more cytomegalovirus (CMV) reactivation (HR=3.65, P=0.038) and more ES (HR=3.18, P=0.078).\n\n\nConclusions:\nOur findings support chemotherapy-based regimens with early neutrophil engraftment, less ES and CMV reactivation compared with TBI. Although there is no impact on survival rates, increased incidence of ES and CMV reactivation should be considered in TBI-based regimens.\n"</v>
          </cell>
          <cell r="E317" t="str">
            <v>HEMATOLOGY|ONCOLOGY|PEDIATRICS</v>
          </cell>
          <cell r="F317" t="str">
            <v>ALL,HSCT,total body irradiation</v>
          </cell>
          <cell r="H317" t="str">
            <v>Q4</v>
          </cell>
        </row>
        <row r="318">
          <cell r="B318" t="str">
            <v>10.1097/NMD.0000000000001352</v>
          </cell>
          <cell r="C318" t="str">
            <v>"Abstract\nThe aim of this study was to investigate the relationship of attachment and coping mechanisms with social functioning in patients with bipolar disorder (BD). Sixty-three patients with BD type I and 63 healthy controls were evaluated. Structured Clinical Interview for DSM-IV Axis I Disorders, Hamilton Depression Rating Scale, Young Mania Rating Scale, Experiences in Close Relationships Questionnaire II, Coping Orientation to Problems Experienced (COPE) inventory, and Social Functioning Scale were used. In the BD group, adaptive coping style scores and attachment avoidance scores were significantly lower than the control group, but mean scores of maladaptive coping styles were higher than the control group. Regression analysis showed that positive reinterpretation and growth, active coping, use of emotional social support, planning, religious activities, and mental disengagement subscales of COPE were significantly associated with social functioning. Psychosocial interventions to strengthen adaptive coping mechanisms may help improve the social functioning in patients with BD."</v>
          </cell>
          <cell r="E318" t="str">
            <v>CLINICAL NEUROLOGY|PSYCHIATRY|PSYCHIATRY</v>
          </cell>
          <cell r="F318" t="str">
            <v>Bipolar disorder,attachment,coping styles,social functioning</v>
          </cell>
          <cell r="H318" t="str">
            <v>Q4</v>
          </cell>
        </row>
        <row r="319">
          <cell r="B319" t="str">
            <v>10.1097/PHM.0000000000001642</v>
          </cell>
          <cell r="C319" t="str">
            <v>"\nObjective\nThe aim of this study was to investigate the regenerative effects of alpha lipoic acid on the recovery of sciatic nerve crush injury (SNCI) in rats.\n\n\nDesign\nThis was a randomized, experimental, and sham-controlled study. The sciatic nerves of 28 rats in four groups were traumatized for 60 secs: G1, sham operated + saline; G2, SNCI + saline; G3, SNCI + alpha lipoic acid 50 mg/kg/day; and G4, SNCI + alpha lipoic acid 100 mg/kg/day. Sciatic functional index values were measured on day 0, 1, 7, 14, 21, and 28. Sciatic nerve stimulation threshold values were recorded on day 1, 14, and 28. End-point histopathologic evaluation was conducted.\n\n\nResults\nThe mean sciatic functional index value of G2 but not G3/G4 on day 7 was significantly lower than on day 0 (P = 0.035, P = 0.447/P = 0.800). The mean sciatic functional index value of G2 but not G3/G4 increased significantly between day 7 and 14 (P = 0.035, P = 0.447/P = 0.438). The day 14 mean sciatic nerve stimulation threshold values of G3/G4 but not G2 were decreased significantly compared with those on day 1 (P = 0.022/P = 0.022, P = 0.933). The mean sciatic nerve stimulation threshold values of G3/G4 on day 14 were similar to those on day 0 (P = 0.106/P = 0.418). Regeneration in muscle and nerve connective tissues and nerve structures was observed in G3/G4. Inflammation in the muscle and nerve tissues of G4 was suppressed down to similar levels of G1. Myelinated nerve fibers were less degenerated in G3/G4.\n\n\nConclusion\nAlpha lipoic acid has the potential to accelerate the process of nerve healing in the context of SNCI in rats.\n"</v>
          </cell>
          <cell r="E319" t="str">
            <v>REHABILITATION|SPORT SCIENCES</v>
          </cell>
          <cell r="F319" t="str">
            <v>Alpha Lipoic Acid,Peripheral Nerve Injury,Rat,Sciatic Nerve</v>
          </cell>
          <cell r="H319" t="str">
            <v>Q1</v>
          </cell>
        </row>
        <row r="320">
          <cell r="B320" t="str">
            <v>10.1097/SAP.0000000000003660</v>
          </cell>
          <cell r="C320" t="str">
            <v>"\nBackground\nVolar finger defects can sometimes be challenging for plastic surgeons. There are many reconstruction options from local flaps to free flaps. Therefore, the aim of this study was to present a functional and cosmetic comparison of the results of using dorsoulnar artery perforator (DUAP), superficial palmar branch of the radial artery (SPBRA), and superficial circumflex iliac artery perforator (SCIP) flaps for repairing volar finger defects.\n\n\nMethods\nThirty-two patients were included in the study. The age and sex of the patients, cause of injury, defect location, defect size, and presence or absence of nerve damage were noted. The patients' defects were reconstructed with DUAP, SCIP, or SPBRA flaps. The flap size, flap elevation time, vessels, and early postoperative complications were noted. During the postoperative follow-up period, the Michigan Hand Outcomes Questionnaire scale was used to evaluate hand function, and the modified Vancouver Scar Scale was used to assess aesthetic appearance. Two-point discrimination tests and cold intolerance tests were performed to measure sensory outcomes. Donor site improvements were also noted.\n\n\nResults\nThere was no significant difference between the groups in terms of age, defect size, flap size, follow-up time, and 2-point discrimination. It was observed that the elevation time was significantly shorter in the SCIP flap group, and the Michigan Hand Outcomes Questionnaire score was significantly lower in the DUAP flap group compared with the other 2 groups (P &lt; 0.01). In addition, the modified Vancouver Scar Scale score was significantly higher in the DUAP flap group (P &lt; 0.01).\n\n\nConclusion\nThe findings of this study show that the use of SPBRA flaps has more advantages than the use of DUAP and SCIP flaps in many respects.\n"</v>
          </cell>
          <cell r="E320" t="str">
            <v>SURGERY</v>
          </cell>
          <cell r="F320" t="str">
            <v>finger defects,hand surgery,microsurgery</v>
          </cell>
          <cell r="H320" t="str">
            <v>Q3</v>
          </cell>
        </row>
        <row r="321">
          <cell r="B321" t="str">
            <v>10.1097/SCS.0000000000006781</v>
          </cell>
          <cell r="C321" t="str">
            <v>"\nAbstract\nTonsillectomy is one of the most frequently performed surgical operations in otolaryngology clinics. While postoperative pain is frequently encountered, severe pain such as glossopharyngeal neuralgia is extremely rare.\n"</v>
          </cell>
          <cell r="E321" t="str">
            <v>SURGERY</v>
          </cell>
          <cell r="F321" t="str">
            <v>Complication,glossopharyngeal neuralgia,tonsillectomy</v>
          </cell>
          <cell r="H321" t="str">
            <v>Q4</v>
          </cell>
        </row>
        <row r="322">
          <cell r="B322" t="str">
            <v>10.1097/SCS.0000000000007129</v>
          </cell>
          <cell r="C322" t="str">
            <v>"\nAbstract\nMaxillary sinus hypoplasia is a rare condition. The majority of patients are asymptomatic but in some cases, they suffer from headaches and facial pain. Awareness of this condition is important because of misdiagnosis and possible complications during endoscopic sinus surgery. This is a presentation of 24-year-old women with unilateral maxillary sinus hypoplasia who presented with headache and nasal blockage.\n"</v>
          </cell>
          <cell r="E322" t="str">
            <v>SURGERY</v>
          </cell>
          <cell r="F322" t="str">
            <v>Computerized tomography,hypoplasia,maxillary sinus</v>
          </cell>
          <cell r="H322" t="str">
            <v>Q4</v>
          </cell>
        </row>
        <row r="323">
          <cell r="B323" t="str">
            <v>10.1097/SCS.0000000000007226</v>
          </cell>
          <cell r="C323" t="str">
            <v>"\nAbstract\nNegative pressure pulmonary edema (NPPE) is a form of noncardiogenic pulmonary edema that typically occurs in response to an upper airway obstruction, where patients generate high negative intrathoracic pressures, leading to a pulmonary edema especially in the postoperative period. Here, we report a case of NPPE following general anesthesia that can easily be misdiagnosed as COVID-19 both radiologically and clinically during this pandemic. Twenty-year-old male was presented with sudden onset respiratory distress, tachypnea, and cyanosis just after the rhinoplasty surgery under general anesthesia. Chest radiography and thoracic computed tomography scans revealed the bilateral patchy alveolar opacities with decreased vascular clarity that looks similar to COVID-19 radiology. Negative pressure pulmonary edema is a sudden onset and life-threatening complication following general anesthesia particularly after head and neck surgery in young healthy individuals. It is a clinical condition that cannot be diagnosed unless it comes to mind. While both NPPE and COVID-19 cause hypoxemia and respiratory distress, as well as ground-glass opacities in the chest computed tomography, those opacities in NPPE appear mostly in central areas, whereas those opacities are mostly seen in peripheral areas in COVID-19. Furthermore, while NPPE cause decreased vascular clarity, COVID-19 causes vascular dilatations in the areas of opacities. Those differences together with medical history of the patient is crucial to differentiate these 2 similar identities. Negative pressure pulmonary edema requires an immediate recognition and intervention, therefore, we would like to raise the awareness of clinicians for such condition to avoid possible mistakes during the pandemic situation.\n"</v>
          </cell>
          <cell r="E323" t="str">
            <v>SURGERY</v>
          </cell>
          <cell r="F323" t="str">
            <v>COVID-19,negative pressure pulmonary edema,noncardiogenic pulmonary edema</v>
          </cell>
          <cell r="H323" t="str">
            <v>Q4</v>
          </cell>
        </row>
        <row r="324">
          <cell r="B324" t="str">
            <v>10.1097/SCS.0000000000007403</v>
          </cell>
          <cell r="C324" t="str">
            <v>"\nAbstract\nThe aim of this study is to analyze the effects of autogenous dentin graft and mixture of autogenous dentin graft and platelet-rich fibrin (PRF) applied to the tooth extraction sockets on bone healing process. A total of 57 extraction sockets in 9 patients who were planned to be treated with dental implant after tooth extraction were evaluated in this study. Extraction sockets were divided randomly into 3 groups for each patient. In the first group, sockets were filled with autogenous dentin graft (Group D). In the second group, sockets were filled with the mixture of PRF and autogenous dentin graft (Group DP). In the third group, sockets were left empty as the control group (Group C). After 3 months, histological and immunohistochemical evaluations were performed on the samples taken during the implant surgery. Additionally, samples obtained from each group were examined by scanning electron microscopy. According to the histopathological findings, when the groups were compared in terms of new bone formation there was a significant difference between Group DP, both Group C, and Group D (Pâ€Š=â€Š0.00), (Pâ€Š=â€Š0.001). These findings supported by immunohistochemical results that showing increased bone morphogenetic protein-2 and Runt-related transcription factor-2 expression in Group DP. It has been concluded that undemineralized autogenous dentin graft has bone formation capacity on early period of bone healing. It can be used as bone graft material in augmentation procedures and its combined use with PRF accelerates new bone formation.\n"</v>
          </cell>
          <cell r="E324" t="str">
            <v>SURGERY</v>
          </cell>
          <cell r="F324" t="str">
            <v>Augmentation,bone formation,dentin graft,platelet-rich fibrin,tooth-derived graft</v>
          </cell>
          <cell r="H324" t="str">
            <v>Q4</v>
          </cell>
        </row>
        <row r="325">
          <cell r="B325" t="str">
            <v>10.1097/SCS.0000000000008796</v>
          </cell>
          <cell r="C325" t="str">
            <v>"Analysis of nonmetric cranial variants has been essential for identifying the human population through osteologic analysis and genetic affinities. This study aimed to examine the nonmetric cranial variants to evaluate differences among sex and side correlations in Anatolian dry skulls. This study was carried out on 50 Anatolian adult dry human skulls (22 males, 28 females) with suitable features (nonfractured and/or with necessary features) out of a total of 97 dry skulls. After sex analysis, each skull was photographed from the norma frontalis, lateralis, inferior, and superior. Eleven nonmetrical cranial variants were investigated. The cranial variants and side incidences were analyzed to determine their sex differences and interside correlations. After the classification, traits were marked as â€œpresentâ€ or â€œabsentâ€ on the charts. Some variants in female crania were seen more frequently than in males. Most of the variants such as the supraorbital notch, infraorbital and zygomaticofacial foramen, showed high correlations between the right and left sides. Overall, there were no statistically significant sex or side differences found in the Anatolian crania."</v>
          </cell>
          <cell r="E325" t="str">
            <v>SURGERY</v>
          </cell>
          <cell r="F325" t="str">
            <v>cranial nonmetric traits,forensic anthropology,osteologic analysis,sexual dimorphism</v>
          </cell>
          <cell r="H325" t="str">
            <v>Q4</v>
          </cell>
        </row>
        <row r="326">
          <cell r="B326" t="str">
            <v>10.1097/SCS.0000000000008850</v>
          </cell>
          <cell r="C326" t="str">
            <v>"This study aims to evaluate the relationship between the convexity angle of facial tissue and fingerprint types by analyzing the connection between dermatoglyphic prints and facial structure. A total of 65 adults (24 females, 41 males) participated in the study. Each participantâ€™s fingerprint was analyzed using conventional methods of observation upon the index finger of the dominant hand. Fingerprints were classified into 3 fundamental types: arch, whorl, or loop. Craniofacial profiling was performed with measurements of hard tissue (Glâ€™-A-Pgâ€™) and soft tissue facial convexity (Gl-Sn-Pg) and total facial convexity (Gl-Prn-Pg) angles between 3 anthropological points determined on the lateral direct radiographs of the participants. Soft tissue convexity facial angle (Gl-Sn-Pg) values were found to be an average of 166.83Â° in females and an average of 162.05Â° in males. (Gl-Prn-Pg) values were found to be an average of 138.54Â° in females and 135.27Â° in males. The soft tissue profile of males showed a significantly convex structure compared with females. Also, the â€œwhorlâ€ type of fingerprint was found to be dominant in both sexes. There is no statistically significant difference in terms of soft tissue profile convexity in individuals belonging to the 3 different fingerprint groups. No statistically significant difference in soft tissue profile angular values between right-hand thumb and index fingerprint type groups were found among and between sexes. However, a comprehensive analysis of the relationships between the nose, lips, mouth, ear, and eyes and fingerprints of the same person may prove to be beneficial."</v>
          </cell>
          <cell r="E326" t="str">
            <v>SURGERY</v>
          </cell>
          <cell r="F326" t="str">
            <v>craniofacial profile,fingerprint analysis,forensic identification,radiograph</v>
          </cell>
          <cell r="H326" t="str">
            <v>Q4</v>
          </cell>
        </row>
        <row r="327">
          <cell r="B327" t="str">
            <v>10.1097/SLA.0000000000006013</v>
          </cell>
          <cell r="C327" t="str">
            <v>"\nObjective:\nThe aim of this study was to assess the impact of postoperative hypophosphatemia on liver regeneration after major liver surgery in the scenario of Associating Liver Partition with Portal vein ligation for Staged hepatectomy (ALPPS) and living liver donation (LLD).\n\n\nBackground:\nHypophosphatemia has been described to reflect the metabolic demands of regenerating hepatocytes. Both ALPPS and LLD are characterized by an exceptionally strong liver regeneration and may be of particular interest in the context of posthepatectomy hypophosphatemia.\n\n\nMethods:\nSerum phosphate changes within the first 7 postoperative days after ALPPS (n=61) and LLD (n=54) were prospectively assessed and correlated with standardized volumetry after 1 week. In a translational approach, postoperative phosphate changes were investigated in mice and in vitro.\n\n\nResults:\nAfter ALPPS stage 1 and LLD, serum phosphate levels significantly dropped from a preoperative median of 1.08Â mmol/L [interquartile range (IQR) 0.92â€“1.23] and 1.07Â mmol/L (IQR 0.91â€“1.21) to a postoperative median nadir of 0.68 and 0.52Â mmol/L, respectively. A pronounced phosphate drop correlated well with increased liver hypertrophy (P&lt;0.001). Patients with a low drop of phosphate showed a higher incidence of posthepatectomy liver failure after ALPPS (7% vs 31%, P=0.041). Like in humans, phosphate drop correlated significantly with degree of hypertrophy in murine ALPPS and hepatectomy models (P&lt;0.001). Blocking phosphate transporter (Slc20a1) inhibited cellular phosphate uptake and hepatocyte proliferation in vitro.\n\n\n\nConclusion:\nPhosphate drop after hepatectomy is a direct surrogate marker for liver hypertrophy. Perioperative implementation of serum phosphate analysis has the potential to detect patients with insufficient regenerative capacity at an early stage.\n"</v>
          </cell>
          <cell r="E327" t="str">
            <v>SURGERY</v>
          </cell>
          <cell r="F327" t="str">
            <v>ALPPS,hypophosphatemia,liver regeneration,phosphorus,serum phosphate</v>
          </cell>
          <cell r="H327" t="str">
            <v>Q1</v>
          </cell>
        </row>
        <row r="328">
          <cell r="B328" t="str">
            <v>10.1097/TIN.0000000000000277</v>
          </cell>
          <cell r="C328" t="str">
            <v>"Dysphagia may play a significant role in the development and progression of malnutrition and may lead to prolonged hospital stay. A group of 187 patients was screened with the NRS-2002 to evaluate nutritional status and the EAT-10 for dysphagia screening. A statistically significant correlation was found between the EAT-10 and NRS scores at hospitalization (initial NRS score) and the final NRS score (P = .014 and P = .007, respectively). To prevent or minimize the adverse outcomes of dysphagia and malnutrition, it is necessary to perform routine dysphagia and malnutrition screening in hospitals."</v>
          </cell>
          <cell r="E328" t="str">
            <v>NUTRITION &amp; DIETETICS</v>
          </cell>
          <cell r="F328" t="str">
            <v>dysphagia,EAT-10,malnutrition,NRS-2002</v>
          </cell>
          <cell r="H328" t="str">
            <v>Q4</v>
          </cell>
        </row>
        <row r="329">
          <cell r="B329" t="str">
            <v>10.1097/TP.0000000000004771</v>
          </cell>
          <cell r="C329" t="str">
            <v>"Small-for-size syndrome (SFSS) following living donor liver transplantation is a complication that can lead to devastating outcomes such as prolonged poor graft function and possibly graft loss. Because of the concern about the syndrome, some transplants of mismatched grafts may not be performed. Portal hyperperfusion of a small graft and hyperdynamic splanchnic circulation are recognized as main pathogenic factors for the syndrome. Management of established SFSS is guided by the severity of the presentation with the initial focus on pharmacological therapy to modulate portal flow and provide supportive care to the patient with the goal of facilitating graft regeneration and recovery. When medical management fails or condition progresses with impending dysfunction or even liver failure, interventional radiology (IR) and/or surgical interventions to reduce portal overperfusion should be considered. Although most patients have good outcomes with medical, IR, and/or surgical management that allow graft regeneration, the risk of graft loss increases dramatically in the setting of bilirubin &gt;10â€‰mg/dL and INR&gt;1.6 on postoperative day 7 or isolated bilirubin &gt;20â€‰mg/dL on postoperative day 14. Retransplantation should be considered based on the overall clinical situation and the above postoperative laboratory parameters. The following recommendations focus on medical and IR/surgical management of SFSS as well as considerations and timing of retransplantation when other therapies fail."</v>
          </cell>
          <cell r="E329" t="str">
            <v>IMMUNOLOGY|SURGERY|TRANSPLANTATION</v>
          </cell>
          <cell r="H329" t="str">
            <v>Q1</v>
          </cell>
        </row>
        <row r="330">
          <cell r="B330" t="str">
            <v>10.1097/WNR.0000000000001572</v>
          </cell>
          <cell r="C330" t="str">
            <v>"\nObjectives\nGlutamate excitotoxicity contributes to neurodegeneration during cerebral ischemia. Recent studies in the protective effect of glutamate against ischemia and hypoxia have shown the need for questioning the role of glutamate in energy metabolism during ischemia. Current study investigates the effect of glutamate on energy substrate metabolites such as alpha-ketoglutarate, lactate, and pyruvate release during control, oxygen-glucose deprivation (OGD), and reoxygenation (REO) conditions.\n\n\nMethods\nThe effects of 0.5 and 2 mM glutamate on spontaneous alpha-ketoglutarate, lactate, and pyruvate release were tested in vitro, on acute rat cortical slices. Alpha-ketoglutarate, lactate, and pyruvate levels were determined by HPLC with UV detector.\n\n\nResults\nWe observed that glutamate added into medium significantly increased alpha-ketogluarate release under control conditions. Although OGD and REO also had a glutamate-like effect, only REO-induced rise further enhanced by glutamate. In contrast to alpha-ketoglutarate, both OGD and REO conditions caused significant declines in pyruvate and lactate outputs. While OGD and REO-induced declines in pyruvate outputs were further potentiated, lactate output was not altered by glutamate added into the medium. Glutamate and alpha-ketoglutarate, moreover, also ameliorated OGD- and REO-induced losses in 2,3,5-triphenyltetrazolium chloride staining with a similar degree.\n\n\nConclusion\nThese results indicate that glutamate probably increases alpha-ketoglutarate production as an alternative energy source for use in the TCA cycle under energy-depleted conditions. Thus, increasing the alpha-ketoglutarate production may represent a new therapeutic intervention for neurodegenerative disorders, including cerebral ischemia.\n"</v>
          </cell>
          <cell r="E330" t="str">
            <v>NEUROSCIENCES</v>
          </cell>
          <cell r="F330" t="str">
            <v>glutamate,&amp;#945,-ketoglutarate,lactate,oxygen-glucose deprivation,pyruvate</v>
          </cell>
          <cell r="H330" t="str">
            <v>Q4</v>
          </cell>
        </row>
        <row r="331">
          <cell r="B331" t="str">
            <v>10.1103/PhysRevA.103.062217</v>
          </cell>
          <cell r="C331" t="str">
            <v>"Detuned systems can spontaneously achieve a synchronous dynamics and display robust quantum correlations in different local and global dissipation regimes. Beyond the Markovian limit, information backflow form the environment becomes a crucial mechanism whose interplay with spontaneous synchronization is unknown. Considering a model of two coupled qubits, one of which interacts with a dissipative environment, we show that non-Markovianity is highly detrimental for the emergence of synchronization, for the latter can be delayed and hindered because of the presence of information backflow. The results are obtained considering both a master equation approach and a collision model based on repeated interactions, which represents a very versatile tool to tailor the desired kind of environment."</v>
          </cell>
          <cell r="E331" t="str">
            <v>OPTICS|PHYSICS, ATOMIC, MOLECULAR &amp; CHEMICAL</v>
          </cell>
          <cell r="H331" t="str">
            <v>Q2</v>
          </cell>
        </row>
        <row r="332">
          <cell r="B332" t="str">
            <v>10.1103/PhysRevA.108.022423</v>
          </cell>
          <cell r="C332" t="str">
            <v>"We examine the effectiveness and resilience of achieving quantum gates employing three approaches stemming from quantum control methods: counterdiabatic driving, Floquet engineering, and inverse engineering. We critically analyse their performance in terms of the gate infidelity, the associated resource overhead based on energetic cost, the susceptibility to time-keeping errors, and the degradation under environmental noise. Despite significant differences in the dynamical path taken, we find a broadly consistent behavior across the three approaches in terms of the efficacy of implementing the target gate and the resource overhead. Furthermore, we establish that the functional form of the control fields plays a crucial role in determining how faithfully a gate operation is achieved. Our results are demonstrated for single qubit gates, with particular focus on the Hadamard gate, and we discuss the extension to $N$-qubit operations."</v>
          </cell>
          <cell r="E332" t="str">
            <v>OPTICS|PHYSICS, ATOMIC, MOLECULAR &amp; CHEMICAL</v>
          </cell>
          <cell r="H332" t="str">
            <v>Q2</v>
          </cell>
        </row>
        <row r="333">
          <cell r="B333" t="str">
            <v>10.1108/ARCH-10-2020-0230</v>
          </cell>
          <cell r="C333" t="str">
            <v>"PurposeWhile the COVID-19 outbreak affects all aspects of life in the world, there is also a global impact in the field of education. Within the scope of the measures to control the epidemic, distance education was started shortly after the starting of the spring semester in all primary and secondary schools and universities. In this process, architectural design courses, which are one of the most fundamental courses of architectural education, started to be held in online studios. The purpose of this paper is to investigate the evaluations of architecture students about the online design studio courses carried out during the COVID-19 outbreak.Design/methodology/approachThis research used a qualitative approach to evaluate the ideas of first, second, third and fourth grade students of architectural design studios in the host university. A questionnaire was directed to students in order to see their opinions about the online design studio education.FindingsResults shows that students think the most prominent benefit of online studios appears in the use of digital tools. Another important result is that if they are equipped with the necessary tools and given the chance to realize themselves, students can work efficiently even in the distance education process.Originality/valueThis study is important in terms of learning the expectations of students from the online process and to identify important issues that should be considered for the next semesters. In addition, this study will serve as a basis for comparative evaluation of architectural education during and after the epidemic. In this context, the study will shed light on future academic research."</v>
          </cell>
          <cell r="E333" t="str">
            <v>ARCHITECTURE</v>
          </cell>
          <cell r="F333" t="str">
            <v>Architectural education,Design studio,Online education,COVID-19,Pandemic</v>
          </cell>
          <cell r="H333" t="str">
            <v>Q1</v>
          </cell>
        </row>
        <row r="334">
          <cell r="B334" t="str">
            <v>10.1108/CCSM-11-2019-0213</v>
          </cell>
          <cell r="C334" t="str">
            <v>"PurposeThe purpose of this study is to refine theory of negotiation by empirically investigating the extent to which national-, societal- and individual-level cultures relate to negotiators' tendency to endorse questionable negotiation tactics.Design/methodology/approachTo assess the hypothesized relationships between culture and ethically questionable negotiation tactics at three cultural levels of analysis, the authors collected data from Turks who reside in Turkey and in Germany and from Greeks who reside in Greece and in Cyprus. Respondents' national-level cultural values were inferred from their nationality, respondents' societal-level cultural values were inferred from their country of residency, and respondents' individual-level cultural values were inferred from their discrete and unique individuality.FindingsAt the national level, the authors found that Turks in Turkey and Germany scored significantly higher than Greeks in Greece and Cyprus on the endorsement of pretending negotiation tactics. At the societal level, the authors found that Turkish negotiators in Germany displayed higher levels of lying negotiation tactics and lower levels of pretending negotiation tactics than Turkish negotiators in Turkey. Greek negotiators in Greece endorsed deceiving and lying tactics more than Greek negotiators in Cyprus. At the individual level, the authors found that negotiators who score high on vertical individualism and collectivism endorse questionable negotiation tactics significantly more than negotiators who score high on horizontal individualism and collectivism.Originality/valueThe authors empirically demonstrate how national-, societal- and individual-level cultures differentially influence negotiators' tendency to endorse questionable negotiation tactics. The study's trilevel analysis allows for integrating the societal-level theories of negotiators' acculturation and cultural adjustment to a host culture, highlighting the importance of bicultural identity."</v>
          </cell>
          <cell r="E334" t="str">
            <v>MANAGEMENT</v>
          </cell>
          <cell r="F334" t="str">
            <v>Negotiation,Tactics,Culture,Bicultural identity,Acculturation,Ethical fading,Individualism,Collectivism</v>
          </cell>
          <cell r="H334" t="str">
            <v>Q3</v>
          </cell>
        </row>
        <row r="335">
          <cell r="B335" t="str">
            <v>10.1108/EC-05-2020-0256</v>
          </cell>
          <cell r="C335" t="str">
            <v>"\nPurpose\nThe study aims to present a new meshless method based on the Taylor series expansion. The compact supported radial basis functions (CSRBFs) are very attractive, can be considered as a numerical tool for the engineering problems and used to obtain the trial solution and its derivatives without differentiating the basis functions for a meshless method. A meshless based on the CSRBF and Taylor series method has been developed for the solutions of engineering problems.\n\n\nDesign/methodology/approach\nThis paper is devoted to present a truly meshless method which is called a radial basis Taylor series method (RBTSM) based on the CSRBFs and Taylor series expansion (TSE). The basis function and its derivatives are obtained without differentiating CSRBFs.\n\n\nFindings\nThe RBTSM does not involve differentiation of the approximated function. This property allows us to use a wide range of CSRBF and weight functions including the constant one. By using a different number of terms in the TSE, the global convergence properties of the RBTSM can be improved. The global convergence properties are satisfied by the RBTSM. The computed results based on the RBTSM shows excellent agreement with results given in the open literature. The RBTSM can provide satisfactory results even with the problem domains which have curved boundaries and irregularly distributed nodes.\n\n\nOriginality/value\nThe CSRBFs have been widely used for the construction of the basic function in the meshless methods. However, the derivative of the basis function is obtained with the differentiation of the CSRBF. In the RBTSM, the derivatives of the basis function are obtained by using the TSE without differentiating the CSRBF.\n"</v>
          </cell>
          <cell r="E335" t="str">
            <v>COMPUTER SCIENCE, INTERDISCIPLINARY APPLICATIONS|ENGINEERING, MULTIDISCIPLINARY|MATHEMATICS, INTERDISCIPLINARY APPLICATIONS|MECHANICS</v>
          </cell>
          <cell r="F335" t="str">
            <v>Compactly supported radial basis functions,Taylor series expansion,Meshless method,Strong formulation,Element free</v>
          </cell>
          <cell r="H335" t="str">
            <v>Q3</v>
          </cell>
        </row>
        <row r="336">
          <cell r="B336" t="str">
            <v>10.1108/FS-11-2022-0138</v>
          </cell>
          <cell r="C336" t="str">
            <v>"PurposeThis study aims to develop the first Theory of Technological Response and Progress in Chaos (TRPC) and examine the case of technological development during the COVID-19 pandemic. The research objectives of this study were to: identify the key technologies that act as a response mechanism during the chaos event, specifically in the case of COVID-19; examine how technologies evolve, develop and diffuse in an immediate crisis and a chaotic environment; theorise various types and periods of technological response and progress during the emergence of chaos and the stages that unfold; and develop policy-oriented recommendations and establish technological foundations to address subsequent chaos events.Design/methodology/approachThis study used the grounded theory as a methodology with a mixed-method approach that included quantitative and qualitative methods. The authors used the quantitative method to assist with the qualitative step to build the TRPC theory. Accordingly, this study integrated machine learning and text mining approaches to the qualitative data analysis following the steps of the grounded theory approach.FindingsAs a result of the TRPC theory development process, the authors identified three types of technologies (survival, essential and enhancement technologies) and five types of periods (stable, initial, survival-dominant, essential-dominant and enhancement-dominant periods) that are specific to chaos-technology interactions. The policy implications of this study demonstrate that a required technological base and know-how must be established before a chaotic event emerges.Research limitations/implicationsConcerning the limitations of this study, social media data has advantages over other data sources, such as the examination of dynamic areas and analyses of immediate responses to chaos. However, other researchers can examine publications and patent sources to augment the findings concerning scientific approaches and new inventions in relation to COVID-19 and other chaos-specific developments. The authors developed the TRPC theory by studying the COVID-19 pandemic, however, other researchers can utilise it to study other chaos-related conditions, such as chaotic events that are caused by natural disasters. Other scholars can investigate the technological response and progress pattern in other rapidly emerging chaotic events of an uncertain and complex nature to augment these findings.Practical implicationsFollowing the indications of the OECD (2021a) and considering the study conducted by the European Parliamentary Research Service (Kritikos, 2020), the authors identified the key technologies that are significant for chaos and COVID-19 response using machine learning and text intelligence approach. Accordingly, the authors mapped all technological developments using clustering approaches, and examined the technological progress within the immediate chaos period using social media data.Social implicationsThe key policy implication of this study concerns the need for policymakers to develop policies that will help to establish the required technological base and know-how before chaos emerges. As a result, a rapid response can be implemented to mitigate the chaos and transform it into a competitive advantage. The authors also revealed that this recommendation overlaps with the model of dynamic capabilities in the literature (Teece and Pisano, 2003). Furthermore, this study recommends that nations and organisations establish a technological base that specifically includes technologies that bear 3A characteristics. These are the most crucial technologies for the survival- and essential-dominant stages. Moreover, the results of this study demonstrate that chaos accelerates technological progress through the rapid adoption and diffusion of technologies into different fields. Hence, nations and organisations should regard this rapid progress as an opportunity and establish the prior knowledge base and technologies before chaos emerges.Originality/valueThe authors have contributed to the chaos studies and the relationship between chaos and technological development by establishing the first theoretical foundation using the grounded theory approach, hereafter referred to as the TRPC theory. As part of the TRPC theory, the authors present three periods of technological response in the following sequence: survival technology, essential technology and enhancement technology. Moreover, this study illustrates the evolving technological importance and priorities as the periods of technological progress proceed under rapidly developing chaos."</v>
          </cell>
          <cell r="E336" t="str">
            <v>REGIONAL &amp; URBAN PLANNING</v>
          </cell>
          <cell r="F336" t="str">
            <v>Grounded theory,Chaos theory,COVID-19,Technological response,Theory of technological response and progress in chaos</v>
          </cell>
          <cell r="H336" t="str">
            <v>Q3</v>
          </cell>
        </row>
        <row r="337">
          <cell r="B337" t="str">
            <v>10.1108/IJCHM-05-2020-0402</v>
          </cell>
          <cell r="C337" t="str">
            <v>"\nPurpose\nRecent figures show that users are discontinuing their usage of TripAdvisor, the leading user-generated content (UGC) platform in the tourism sector. Hence, it is relevant to study the factors that influence travelersâ€™ continued use of TripAdvisor.\n\n\nDesign/methodology/approach\nThe authors have integrated constructs from the technology acceptance model, information systems (IS) continuance model and electronic word of mouth literature. They used PLS-SEM (smartPLS V.3.2.8) to test the hypotheses using data from 297 users of TripAdvisor recruited through Prolific.\n\n\nFindings\nFindings reveal that perceived ease of use, online consumer review (OCR) credibility and OCR usefulness have a positive impact on customer satisfaction, which ultimately leads to continuance intention of UGC platforms. Customer satisfaction mediates the effect of the independent variables on continuance intention.\n\n\nPractical implications\nManagers of UGC platforms (i.e. TripAdvisor) can benefit from the findings of this study. Specifically, they should improve the ease of use of their platforms by facilitating travelersâ€™ information searches. Moreover, they should use signals to make credible and helpful content stand out from the crowd of reviews.\n\n\nOriginality/value\nThis is the first study that adopts the IS continuance model in the travel and tourism literature to research the factors influencing consumersâ€™ continued use of travel-based UGC platforms. Moreover, the authors have extended this model by including new constructs that are particularly relevant to UGC platforms, such as performance heuristics and OCR credibility.\n"</v>
          </cell>
          <cell r="E337" t="str">
            <v>HOSPITALITY, LEISURE, SPORT &amp; TOURISM|MANAGEMENT</v>
          </cell>
          <cell r="F337" t="str">
            <v>eWOM,Customer satisfaction,Perceived review credibility,Perceived review usefulness,Performance heuristics,Technology continuance intention</v>
          </cell>
          <cell r="H337" t="str">
            <v>Q1</v>
          </cell>
        </row>
        <row r="338">
          <cell r="B338" t="str">
            <v>10.1108/IJMCE-11-2020-0077</v>
          </cell>
          <cell r="C338" t="str">
            <v>"PurposeSocial constructivism in teacher education highlights the importance of social interaction between preservice teachers (PTs) and their cooperating teachers (mentors) for effective mentoring. Mentoring relationship between PTs and mentors had to take a different path due to the pandemic when face-to-face education shifted to online education. The purpose of the present study was to explore online mentoring experience from the perspectives of PTs.Design/methodology/approachThe methodology was qualitative. 35 randomly selected PTs were interviewed after the completion of an eight-week online school experience course. Data obtained from focus group interviews were analyzed using pattern coding.FindingsOverall, the PTs mostly had a positive online mentoring experience. They reported receiving sufficient contextual and technological support when needed with limited professional support. However, they expected their mentors to allocate more time and their university supervisors (USs) to control practicum schools and to provide more online teaching samples and guidelines. They indicated that when they did not receive supports this was entirely due to the pandemic.Research limitations/implicationsThis research could inform USs and mentors who coordinate mentoring programs at schools and universities so that they might take an urgent step to restructure mentorship training, putting emphasis on the online aspect. Given the number of the participants, this research is limited in scope.Originality/valueThis research contributes to a body of research that investigates how online mentoring may be more effective. To create positive online mentoring relationships, following suggestions are provided to mentors: providing ongoing online support to PTs to overcome online mentoring challenges, spending an extra hour with PTs for reflection and making use of multiple contexts for PTs' professional ownership."</v>
          </cell>
          <cell r="E338" t="str">
            <v>EDUCATION &amp; EDUCATIONAL RESEARCH</v>
          </cell>
          <cell r="F338" t="str">
            <v>Mentoring,Online education,English language teacher education,Pandemic,Pre-service teachers</v>
          </cell>
          <cell r="H338" t="str">
            <v>Q2</v>
          </cell>
        </row>
        <row r="339">
          <cell r="B339" t="str">
            <v>10.1108/IJOA-06-2023-3817</v>
          </cell>
          <cell r="C339" t="str">
            <v>"\nPurpose\nThis study addresses a critical research gap by examining the pivotal role of organizational career management (OCM) in shaping employeesâ€™ career outcomes while also investigating the mediating influence of career capital in this relationship. This study aims to shed light on the importance of OCM as a strategic approach for enhancing employeesâ€™ career trajectories, filling a significant gap in the existing literature.\n\n\nDesign/methodology/approach\nUsing a cross-sectional research design, primary data were gathered through a structured questionnaire administered to a diverse sample of 426 Turkish working adults representing various organizations. The study uses structural equation modelling with AMOS to analyse the direct and indirect relationships within the proposed research model.\n\n\nFindings\nThe study findings underscore the essential connection between OCM and employeesâ€™ career outcomes, revealing its positive influence on subjective career success, employability and innovative work behaviour. Moreover, career capital emerges as a critical intermediary mechanism that mediates the impact of OCM on these career outcomes, further highlighting the strategic significance of OCM practices.\n\n\nResearch limitations/implications\nIt is important to note that this study relies on self-report surveys to gauge employeesâ€™ perceptions about their career outcomes and OCM. Additionally, the study data are confined to the Turkish context, which may influence the generalizability of the findings to other contexts.\n\n\nPractical implications\nOrganizations can bolster career outcomes through strategic investment in OCM. Industries can customize approaches, leveraging insights to optimize workforce potential. Policymakers should integrate career development principles, cultivating a culture of perpetual learning, thus fortifying organizational resilience and fostering sustainable success.\n\n\nOriginality/value\nThis study adds substantial value to the current body of knowledge by investigating the mediating role of career capital in the relationship between OCM and individual career outcomes, particularly within the context of emerging economies like Turkey. The studyâ€™s comprehensive approach to understanding careers from both individual and organizational perspectives contributes to a more nuanced and holistic understanding of career dynamics.\n"</v>
          </cell>
          <cell r="E339" t="str">
            <v>MANAGEMENT</v>
          </cell>
          <cell r="F339" t="str">
            <v>Organizational career management,Employability,Career capital,Subjective career success,Innovative work behaviour,Resource-based view,Turkey</v>
          </cell>
          <cell r="H339" t="str">
            <v>Q3</v>
          </cell>
        </row>
        <row r="340">
          <cell r="B340" t="str">
            <v>10.1108/IJOEM-01-2020-0110</v>
          </cell>
          <cell r="C340" t="str">
            <v>"PurposeThe beta coefficient used for the cost of equity calculation is at the heart of the valuation process. This study conducts comparative analyses of the classical capital asset pricing model (CAPM) and downside CAPM risk parameters to gain further insight into which risk parameter leads to better performing risk measures at explaining stock returns.Design/methodology/approachThe study conducts a comparative analysis of 16 risk measures at explaining the stock returns of 4531 companies of 20 developed and 25 emerging market index for 2000â€“2018. The analyses are conducted using both the global and local indices and both USD and local currency returns. Calculated risk measures are analyzed in a panel data setup using a univariate model. Results are investigated in country-specific and model-specific subsets.FindingsThe results show that (1) downside betas are better than CAPM betas at explaining the stock returns, (2) both risk measure groups perform better for emerging markets, (3) global downside beta model performs better than global beta model, implying the existence of the contagion effect, (4) high significance levels of total risk and unsystematic risk measures further support the shortfall of CAPM betas and (5) higher correlation of markets after negative shocks such as pandemics puts global CAPM based downside beta to a more reliable position.Research limitations/implicationsThe data are limited to the index securities as beta could be time varying.Practical implicationsResults overall provide insight into the cost of equity calculation and emerging market assets valuation.Originality/valueThe framework and methodology enable us to compare and contrast CAPM and downside-CAPM risk measures at the firm level, at the global/local level and in terms of the level of market development."</v>
          </cell>
          <cell r="E340" t="str">
            <v>BUSINESS|ECONOMICS|MANAGEMENT</v>
          </cell>
          <cell r="F340" t="str">
            <v>Asset pricing,Downside beta,Downside CAPM,Downside risk,Semivariance,Emerging markets,Developed markets,C21,C23,G11,G12</v>
          </cell>
          <cell r="H340" t="str">
            <v>Q2</v>
          </cell>
        </row>
        <row r="341">
          <cell r="B341" t="str">
            <v>10.1108/IJOES-12-2021-0242</v>
          </cell>
          <cell r="C341" t="str">
            <v>"\nPurpose\nThis study aims to propose a practical, virtue-centric model of leadership based on Islamic principles. The structure of the Islamic leadership construct is validated through confirmatory factor analysis. Its relationship with performance and organizational commitment is examined and the mediating role of organizational commitment is assessed.\n\n\nDesign/methodology/approach\nIslamic leadership model is tested using confirmatory factor analysis with data collected from employees working in the services sector in Turkey. Relationships between Islamic leadership, organizational commitment and performance are examined through a path analysis.\n\n\nFindings\nThe factor analysis results presented a good fit for the proposed Islamic leadership model, which consists of wisdom, religiosity, justice and kindness dimensions. Regarding path analysis, findings indicated a positive relationship between Islamic leadership and job performance. Moreover, organizational commitment partially mediated the relationship between Islamic leadership and job performance.\n\n\nOriginality/value\nPrevious studies on Islamic leadership contain a very little number of empirical models. This study proposes a valuable empirical model of Islamic leadership consisting of moral values, spirituality, ethics and wisdom. In addition, the proposed model is supported with empirical pieces of evidence. Evidence of the partial mediating role of organizational commitment between Islamic leadership and job performance is also revealed by the study.\n"</v>
          </cell>
          <cell r="E341" t="str">
            <v>ECONOMICS</v>
          </cell>
          <cell r="F341" t="str">
            <v>Islamic leadership,Leadership,Job performance,Organizational commitment,Islamic values,Islamic work ethics</v>
          </cell>
          <cell r="H341" t="str">
            <v>Q2</v>
          </cell>
        </row>
        <row r="342">
          <cell r="B342" t="str">
            <v>10.1108/JBIM-07-2019-0321</v>
          </cell>
          <cell r="C342" t="str">
            <v>"PurposeThe purpose of this study is to reveal the mediating role of scenario planning between reflection and task performance in new product development (NPD) teams.Design/methodology/approachA cross-sectional research design was used to collect data from 78 NPD teams and 194 employees. The mediation analyses were conducted through the bootstrap PROCESS macro method.FindingsThe results of this study yielded support for two of three hypotheses. The authors found that the relationship of reflection with product development speed and new product success is mediated by scenario planning. There was no mediation of scenario planning between reflection and product development cost.Research limitations/implicationsThese findings show how teams can capitalize on reflective thinking practices to increase NPD task performance through scenario planning.Practical implicationsThis study provides useful guidelines for team leaders on how to accelerate product development processes and to increase the market success of a new product. Leaders should encourage their teams to review their previous performance metrics with ongoing changes in the business environments.Originality/valueTo the best of the authorsâ€™ knowledge, this study is the first to examine the mediating role of scenario planning on the reflectionâ€“task performance relationship in NPD teams."</v>
          </cell>
          <cell r="E342" t="str">
            <v>BUSINESS</v>
          </cell>
          <cell r="F342" t="str">
            <v>Scenario planning,New product development performance,Team reflection,Team reflexivity</v>
          </cell>
          <cell r="H342" t="str">
            <v>Q3</v>
          </cell>
        </row>
        <row r="343">
          <cell r="B343" t="str">
            <v>10.1108/JES-04-2021-0188</v>
          </cell>
          <cell r="C343" t="str">
            <v>"PurposeThis study aims to attempt to understand the joint co-movement of bank deposit rate and its main underlying determinants (foreign exchange rate (FX) rate, cross-currency swap rate and implied forward rate). The authors also compare time and frequency variant approaches in this dynamic.Design/methodology/approachThe authors examine bank deposit rates where multiple variables jointly interact, and the integration is time and frequency variant. The study applies both cointegration and wavelet coherence methods and conducts a comparative analysis. It investigates eight markets over 2005â€“2020 aiming to capture the impact of changing market conditions and degree of development.FindingsThe results are in line with cross-country interdependence, where we observe more robust evidence for co-movement during adverse economic conditions with higher correlation compared to other periods such as the 2007â€“2009 US mortgage crises, 2010â€“2012 Euro crises and 2019 pandemic. Moreover, wavelet analysis suggests deposit rate lags FX rate and leads cross-country swap rate. The USA arguably leads the co-movement accompanied briefly by Japan and followed closely by other developed markets and later the developing markets. Heat maps suggest clustering of countries.Practical implicationsThe wavelet coherence's ability to indicate the periods and the frequencies of the relationship is essential to capture the true nature of the relationship. Such additional insight would enable the practitioners to determine the true price of the deposit rate.Originality/valueThe study captures the long suggested collective nature of three main underlying determinants of bank deposit. The results shed light on the order of dynamics in a complex bank deposit environment. Comparative analysis further highlights the valuable insight quadruple wavelet coherence provides."</v>
          </cell>
          <cell r="E343" t="str">
            <v>ECONOMICS</v>
          </cell>
          <cell r="F343" t="str">
            <v>Deposit rate,Banking,Co-movement,Quadruple wavelet coherence,Cointegration</v>
          </cell>
          <cell r="H343" t="str">
            <v>Q2</v>
          </cell>
        </row>
        <row r="344">
          <cell r="B344" t="str">
            <v>10.1108/JFRC-03-2020-0028</v>
          </cell>
          <cell r="C344" t="str">
            <v>"PurposeThis paper aims to investigate private pension fund investor sentiment against fund performance and cost in an environment of frequent regulatory changes. The analyses are conducted in a low return, high-cost private pension fund market environment, which makes it easier to observe the relationship between investor sentiment to return and cost.Design/methodology/approachThis paper conducts fixed effect, random effect and random effect within between effect panel data analyses of all Turkish private pension funds from 2011 to 2019. This paper conducts the analyses using aggregate data and subsets based on fund characteristics and pre-post regulation periods.FindingsWhen regulations provide compensation and improve market efficiency in a pension fund market, investor focus shifted from performance to cost. Investors allocated assets with respect to return realization when adequately compensated for risk or had favorable cost contract clauses. Consequently, investors in pension funds with lower expected returns and no special fee reduction clauses tended to adopt the strategy of cost minimization.Research limitations/implicationsThe overlap of regulatory change periods could complicate the ability to distinguish the impact of any one specific change. The findings therefore cannot be generalized to differently structured markets.Practical implicationsRegulatory changes could lead to a switch of investor objectives. When regulatory changes compensate investors and increase market efficiency, investors objective could switch from performance to cost.Originality/valueThis study investigates investor sentiment in a relatively young private pension fund market, in which the relevant regulatory body ambitiously implements frequent changes in regulation. The selected market is unique in the sense that it has negative real returns and high costs, which make investor focus to return and cost more readily apparent."</v>
          </cell>
          <cell r="E344" t="str">
            <v>BUSINESS, FINANCE</v>
          </cell>
          <cell r="F344" t="str">
            <v>Private pension fund,Pension plan,Fund flow,Investor sentiment,Active management return,Management fee,Financial regulation</v>
          </cell>
          <cell r="H344" t="str">
            <v>Q2</v>
          </cell>
        </row>
        <row r="345">
          <cell r="B345" t="str">
            <v>10.1108/JHR-12-2020-0617</v>
          </cell>
          <cell r="C345" t="str">
            <v>"PurposeLactose intolerance is lactose digestive disorder due to lactase enzyme deficiency. This can affect the quality of life by restricting the intake of certain foods. The aim of this study is to show the lactose intolerance to the restriction in food intake and quality of life.Design/methodology/approachThis study was conducted with adults aged 18â€“60 years. A survey was used to gather information on the demographic characteristics of the patients and their symptoms related to lactose intolerance. In addition, the Visual Analog Scale was administered to identify common symptoms and the World Health Organization Quality of Life (WHOQOL)-Bref Quality of Life Scale to determine their quality of life.FindingsThe average quality of life subscale scores was 56.25Â Â±Â 14.06 for physical, 58.29Â Â±Â 11.72 for mental, 63.28Â Â±Â 21.35 for social and 62.36Â Â±Â 16.37 for environmental. When VAS scores obtained for the common digestive system symptoms in lactose intolerance were compared with Quality of Life scores; it was found that physical life quality scores decreased (rÂ =Â âˆ’0.239, pÂ =Â 0.030) as the complaints of diarrhea increased and physical and environmental life quality decreased (rÂ =Â âˆ’0.316, pÂ =Â 0.004/rÂ =Â âˆ’0.277, pÂ =Â 0.012, respectively) as abdominal pain increased.Originality/valuePeople reduce dairy consumption due to digestive system complaints. Therefore, it is important to inform the people about the effects of lactose intolerance because discomfort caused by intolerance can affect nutrient intake and lower the quality of life."</v>
          </cell>
          <cell r="E345" t="str">
            <v>HEALTH CARE SCIENCES &amp; SERVICES</v>
          </cell>
          <cell r="F345" t="str">
            <v>Lactose,Lactose intolerance,Quality of life,Diet,Turkey</v>
          </cell>
          <cell r="H345" t="str">
            <v>Q4</v>
          </cell>
        </row>
        <row r="346">
          <cell r="B346" t="str">
            <v>10.1108/JHTI-06-2021-0147</v>
          </cell>
          <cell r="C346" t="str">
            <v>"PurposeScales play an important role in researching and understanding a field. This study aims to explore scales developed in hospitality and tourism to identify the trends and the gaps in the scale development studies with a view to make scale development recommendations for future studies.Design/methodology/approachThe study explores and analyses 253 scales developed from the perspectives of scope and methodology. The scales were first grouped into categories to identify trends and gaps in scale development to be able to make recommendations from the scope perspective. Then, for the methodology perspective, the scales were analysed according to various criteria such as sampling, reliability, validity and pilot testing reporting.FindingsThe study shows that while there are opportunities in some areas to develop newer scales, some areas appear to be saturated. It is important to note that all scales appear to be self-report scales which may result in the measurement of self-perceptions of people alone regarding a phenomenon. The study also pointed out some of the methodological shortcomings in the scales developed.Research limitations/implicationsThe study has both theoretical and practical implications. From a theoretical implications perspective, the study identified the overlaps and the gaps in scale development and provided several new scale development ideas concerning their scopes/topics and methodologies. From a practical perspective, the study shed light on the extent which the scales are relevant and useable by the practitioners in the tourism and hospitality establishments.Originality/valueThe study is original as there is no collective review of hospitality and tourism scales. The study identifies the trends, gaps, overlaps and some of the weaknesses of the scales developed and offers several valuable recommendations for the future."</v>
          </cell>
          <cell r="E346" t="str">
            <v>HOSPITALITY, LEISURE, SPORT &amp; TOURISM</v>
          </cell>
          <cell r="F346" t="str">
            <v>Scale development,Tourism,Hospitality,Self-report,Customer</v>
          </cell>
          <cell r="H346" t="str">
            <v>Q1</v>
          </cell>
        </row>
        <row r="347">
          <cell r="B347" t="str">
            <v>10.1108/JHTI-08-2020-0154</v>
          </cell>
          <cell r="C347" t="str">
            <v>"PurposeThe current study aims to develop a comprehensive model of cocreation and immersion/engagement for cafÃ© brands as well as their antecedent and consequences in a cafÃ© brand context. Inherently involving highly socially involving consumption settings, cafÃ©s are particularly conducive to brand cocreation.Design/methodology/approachThe current study tested a model of these relationships by analyzing data from customers of a local cafÃ© and those of a global cafÃ©, Starbucks, situated in the same town, Karakoy, in Istanbul, Turkey. Data from 241 respondents were analyzed using partial least squares structural equation modeling (PLS-SEM) to test the model of the study.FindingsResults show that sense of brand community is a powerful predictor of cocreation and brand immersion, which are also important antecedents of attitude toward a brand including, cognitive, affective and conative dimensions. Results also revealed slight differences between the local and global brands in terms of brand cocreation's influence on brand trust and loyalty.Research limitations/implicationsThe study is conducted with a limited number of customers of two cafÃ©s in a city in Turkey. Future research with the customers from other locations of these cafÃ©s, especially the multinational customers of the international cafÃ© brand is needed to retest the model for its validity.Practical implicationsThe significant differences between ratings of local and global cafÃ© brands are positive news for local and traditional cafÃ©s that are losing considerable market share to their global competitors. Strategic cocreation implementations can be used to instill special and robust relationships with consumers.Originality/valueThe study provides evidence that in highly socially dynamic brand contexts, such as cafÃ© brands, brand community is a critical predictor of cocreation and brand immersion, which then affect attitude toward a brand with cognitive, affective and conative dimensions, reflected in brand trust, brand love, satisfaction with the brand, brand commitment and brand loyalty."</v>
          </cell>
          <cell r="E347" t="str">
            <v>HOSPITALITY, LEISURE, SPORT &amp; TOURISM</v>
          </cell>
          <cell r="F347" t="str">
            <v>Cocreation,Immersion,Attitude,Trust,Brand love,Satisfaction</v>
          </cell>
          <cell r="H347" t="str">
            <v>Q1</v>
          </cell>
        </row>
        <row r="348">
          <cell r="B348" t="str">
            <v>10.1108/JME-09-2023-0096</v>
          </cell>
          <cell r="C348" t="str">
            <v>"\nPurpose\nThis study aims to examine how teacher candidates (TCs) in TÃ¼rkiye and the USA navigate their intercultural communication skills in a telecollaboration project.\n\n\nDesign/methodology/approach\nForty-eight TCs participated (26 in TÃ¼rkiye and 22 in the USA) in the study. TCs discussed critical issues in multicultural education on an online learning platform for six weeks. Their discussions were analyzed using content and discourse analysis.\n\n\nFindings\nThe findings indicated that TCs approached the telecollaborative space as a translingual contact zone and positioned themselves and their interlocutors in the discourse by using the personal pronouns; I, we, you and they. When they positioned themselves using we (people in TÃ¼rkiye/USA), they spoke on behalf of everyone included in the scope of we. Their interlocutors responded to these positionings either by accepting this positioning and responding with a parallel positioning or by engaging in translingual negotiation strategies to revise the scope of we and sharing some differences/nuances in beliefs and practices in their community.\n\n\nResearch limitations/implications\nWhen TCs talk about their culture and community in a singular manner using we, they frame them as the same across every member in that community. When they ask questions to each other using you, the framing of the questions prime the respondents to sometimes relay their own specific experiences as the norm or consider experiences from different points of view through translingual negotiation strategies. A singular approach to culture(s) may affect the marginalized communities the most because they are lost in this representation, and their experiences and voices are not integrated in the narratives or integrated with stereotypical representation.\n\n\nPractical implications\nTeachers and teacher educators should first pay attention to their language choices, especially use of pronouns, which may communicate inclusion or exclusion in intercultural conversations. Next, they should prepare their students to adopt and practice language choices that communicate respect for cultural diversity and are inclusive of marginalized populations.\n\n\nSocial implications\nSpeakersâ€™ pronoun use includes identity construction in discourse by drawing borders around and between communities and cultures with generalization and particularity, and by patrolling those borders to decide who is included and excluded. As a response, interlocutors use pronouns either to acknowledge those borders and respond with corresponding ones from their own context or negotiate alternative representations or further investigate for particularity or complexity. In short, pronouns could lead the direction of intercultural conversations toward criticality and complexity or otherwise, and might be reasons where there are breakdowns in communication or to fix those breakdowns.\n\n\nOriginality/value\nThis study shows that translingual negotiation strategies have explanatory power to examine how speakers from different language backgrounds negotiate second and third order positionings in the telecollaborative space.\n"</v>
          </cell>
          <cell r="E348" t="str">
            <v>EDUCATION &amp; EDUCATIONAL RESEARCH</v>
          </cell>
          <cell r="F348" t="str">
            <v>Teacher candidates,Telecollaboration,Intercultural communication,Translingual negotiation,Positioning</v>
          </cell>
          <cell r="H348" t="str">
            <v>Q3</v>
          </cell>
        </row>
        <row r="349">
          <cell r="B349" t="str">
            <v>10.1108/MEQ-03-2022-0085</v>
          </cell>
          <cell r="C349" t="str">
            <v>"PurposeAll supply chains must address waste management since it is a crucial step toward a sustainable world. This article aims to analyze the potential of blockchain technology in waste management by focusing on the textile sector, which is one of the polluting industries. The study's main objective is to realize businesses' waste management practices and sustainability initiatives and then to comprehend how practitioners perceive the implementation of blockchain technology to waste management.Design/methodology/approachThe waste management procedures and actors' perceptions of blockchain technology are examined using a qualitative study approach that adopts an in-depth interview methodology. The collected data is analyzed by a qualitative analysis software (e.g. MAXQDA).FindingsFindings of the study show that blockchain technology is still in its infancy and needs to be communicated to the actors of the sector. The technology has low potential due to the barriers it faces during the development phase. However, it is considered to be an important technological development for the textile sector stakeholders.Originality/valueThis study is important to notice at what stage the waste management practices and how to develop better with modern technologies like blockchain. Blockchain technology has essential potential for supply chains, but sustainability concerns are becoming a major issue to be solved. Waste management is therefore an important subject to be analyzed and provided with innovative solutions that will contribute to sustainability efforts. To the author's best knowledge, this is the first attempt to comprehend the potential of blockchain in the textile industry in terms of waste management."</v>
          </cell>
          <cell r="E349" t="str">
            <v>ENVIRONMENTAL STUDIES</v>
          </cell>
          <cell r="F349" t="str">
            <v>Blockchain,Supply chain,Sustainability,Waste management,Textile industry,Qualitative study</v>
          </cell>
          <cell r="H349" t="str">
            <v>Q1</v>
          </cell>
        </row>
        <row r="350">
          <cell r="B350" t="str">
            <v>10.1108/NFS-08-2022-0268</v>
          </cell>
          <cell r="C350" t="str">
            <v>"\nPurpose\nThere are limited studies on the effects of coffee consumption, which has become part of popular culture and is highly common among young people, on the attention levels of female university students. This paper aims to examine the effects of caffeine consumption given at different doses (0, 100 and 200â€‰mg) to female university students (n = 100) studying at the faculty of health sciences on attention performance with the Stroop Color and Word Test (SCWT).\n\n\nDesign/methodology/approach\nParticipants' test completion time, number of errors and corrections were tested. In addition, the frequencies of weekly coffee consumption were also recorded.\n\n\nFindings\nIt was found that consumption of coffee containing 200â€‰mg of caffeine reduced the time to complete the sections of the SCWT test (p &lt; 0.05), as well as the total test completion time (55.81â€‰Â±â€‰8.67â€‰s) compared to no coffee consumption (58.25â€‰Â±â€‰9.46â€‰s) and coffee consumption with 100-mg caffeine (57.56â€‰Â±â€‰8.87â€‰s) (p &lt; 0.05; effect size: 0.268). The effect of caffeine on attention level was induced by 200-mg caffeine consumption, but was unapparent at 100-mg dose. In addition, SCWT completion times were reduced in the student group with more weekly coffee consumption (=3 cups/week) at 200-mg caffeine dose.\n\n\nOriginality/value\nIn this context, caffeine dose is a factor that should be taken into account in determining the performance of individuals in the SCWT test. It is thought that coffee consumption can increase the concentration of students and have positive effects on academic achievement.\n"</v>
          </cell>
          <cell r="E350" t="str">
            <v>FOOD SCIENCE &amp; TECHNOLOGY</v>
          </cell>
          <cell r="F350" t="str">
            <v>Coffee,Caffeine,Focus,Attention,Stroop test</v>
          </cell>
          <cell r="H350" t="str">
            <v>Q4</v>
          </cell>
        </row>
        <row r="351">
          <cell r="B351" t="str">
            <v>10.1108/NFS-09-2022-0323</v>
          </cell>
          <cell r="C351" t="str">
            <v>"\nPurpose\nDiabetes is one of the health problems of increasing importance owing to the increase in its incidence and the problems it causes, and it is closely related to nutrition. This study aims to determine the relationship between the dietary inflammatory index (DII) scores of individuals with type 2 diabetes, depression, anxiety and quality of life.\n\n\nDesign/methodology/approach\nIn this cross-sectional study, 158 individuals with type 2 diabetes who applied to a nutrition and diet outpatient clinic of a private hospital in Istanbul were included. Their depression status was evaluated using the Beck Depression Inventory; their anxiety status was evaluated using the Beck Anxiety Inventory; and their quality of life was evaluated using the Short Form 36 Quality of Life scale. One-way ANOVA test was used to define the difference between groups. All test results were evaluated at a significance level of 0.05.\n\n\nFindings\nThere was no significant relationship between DII scores, depression (p = 0.814) and anxiety (p = 0.817). However, a significant decrease was observed in the scores of the quality of life criterion in the groups with high depression and anxiety scores (p &lt; 0.05). In addition, participants with high anxiety states had higher HbA1c levels (p = 0.043).\n\n\nOriginality/value\nIndividuals in this sample with no known psychiatric diagnosis or treatment history demonstrated a significant relationship between depression and anxiety scores and quality of life.\n"</v>
          </cell>
          <cell r="E351" t="str">
            <v>FOOD SCIENCE &amp; TECHNOLOGY</v>
          </cell>
          <cell r="F351" t="str">
            <v>Inflammatory diet,Mental health,Type 2 diabetes,Quality of life</v>
          </cell>
          <cell r="H351" t="str">
            <v>Q4</v>
          </cell>
        </row>
        <row r="352">
          <cell r="B352" t="str">
            <v>10.1108/NFS-09-2022-0335</v>
          </cell>
          <cell r="C352" t="str">
            <v>"\nPurpose\nThe evaluation of sustainable eating behaviors of individuals who constitute the society is important in the interpretation of both health-related and environmental effects. Therefore, this study aims to develop a valid and reliable scale to assess the sustainable food consumption behaviors of adults living in Turkey.\n\n\nDesign/methodology/approach\nThe validity of the scale was evaluated by using the factor analysis, correlation analysis and comparison of the lower and upper 27% groups with the t-test technique. Cronbachâ€™s alpha (CA), split-half, parallel and strict criteria were used to determine the internal consistency of the scale, and the Pearson correlation analysis was conducted for the test and retest. The explanatory factor analysis and confirmatory factor analysis were applied to test construct validity.\n\n\nFindings\nThe total variance rate explained by all the factors was 77.03%. CA value of the scale was 0.92, and the testâ€“retest reliability coefficient was 0.96. The difference between the lower and upper 27% group means was significant at the p &lt; 0.05 level. The factor structure of the scale was confirmed by the results of the confirmatory factor analysis.\n\n\nOriginality/value\nThere are scales in the international literature that have been validated to evaluate various aspects of behaviors related to sustainable food consumption (Tobler et al., 2011; Verain et al., 2015). However, to the best of the authorsâ€™ knowledge, there are no validity and reliability studies of a scale developed in Turkey on sustainable food consumption of adults.\n"</v>
          </cell>
          <cell r="E352" t="str">
            <v>FOOD SCIENCE &amp; TECHNOLOGY</v>
          </cell>
          <cell r="F352" t="str">
            <v>Sustainability,Nutrition,Scale development,Sustainable food consumption,Sustainable diet</v>
          </cell>
          <cell r="H352" t="str">
            <v>Q4</v>
          </cell>
        </row>
        <row r="353">
          <cell r="B353" t="str">
            <v>10.1108/OHI-08-2021-0174</v>
          </cell>
          <cell r="C353" t="str">
            <v>"PurposeThis paper aims to elaborate on the characteristics of vernacular architecture, particularly the architecture of the Turkish eastern Black Sea region, through a case study in the area; and to attract theÂ attention of architects and researchers on the unique characters of the region. Another aim of the paper is to examine the contribution of vernacular architecture to sustainability through its design methods and principles, which have been developed throughout centuries.Design/methodology/approachThis paper presents a single case study on the architecture of the Turkish eastern Black Sea region through 14 unique samples from Senoz (BÃ¼yÃ¼kdere) Valley. The case study is preceded by theoretical research on vernacular architecture, its characteristics and its contribution to sustainable architecture.FindingsThe case study carried out in the Senoz Valley revealed that the region's vernacular architecture is still living. However, it has lost its importance in the past. Outcomes of the case study indicate that the unique character of the architecture in the valley needs to be protected and sustained, so that future generations can also benefit from its special design features.Originality/valueSenoz Valley is a settlement located near the city of Rize in the eastern Black Sea region of Turkey. Vernacular architecture reflects the characteristics of the region and contains unique features inÂ construction and planning. According to these special features, the architecture of Senoz valley deserves aÂ place in the literature of vernacular architecture."</v>
          </cell>
          <cell r="E353" t="str">
            <v>ARCHITECTURE|ENVIRONMENTAL STUDIES|URBAN STUDIES</v>
          </cell>
          <cell r="F353" t="str">
            <v>Vernacular architecture,Sustainability,Black Sea region,Architectural design</v>
          </cell>
          <cell r="H353" t="str">
            <v>Q4</v>
          </cell>
        </row>
        <row r="354">
          <cell r="B354" t="str">
            <v>10.1108/SC-08-2021-0035</v>
          </cell>
          <cell r="C354" t="str">
            <v>"\nPurpose\nShoplifting has become a widespread crime problem worldwide. The study aims to investigate retailersâ€™ perceptions of the effectiveness of crime prevention through environmental design (CPTED)-based techniques to prevent shoplifting in Istanbul.\n\n\nDesign/methodology/approach\nData collection involved 370 face-to-face interviews with store managers at shopping malls in Istanbul by using a structured, self-explanatory questionnaire. The current study applies CPTED approach to measure the effectiveness of informal and formal surveillance techniques.\n\n\nFindings\nThe results revealed that store managers perceived awareness of sales staff as the most effective CPTED-based approach to prevent shoplifting. The study identified six factors underlying perceived effectiveness of CPTED-based techniques: surveillance (informal surveillance), image/maintenance and surveillance (formal surveillance), territoriality, surveillance (formal surveillance), surveillance (mechanical surveillance) and target hardening.\n\n\nOriginality/value\nNo research to date has addressed the effectiveness of CPTED-based techniques in Turkey at shopping malls. Given the limited number of prior research, the results provide important insights regarding the perceived effectiveness of CPTED-based techniques.\n"</v>
          </cell>
          <cell r="E354" t="str">
            <v>CRIMINOLOGY &amp; PENOLOGY</v>
          </cell>
          <cell r="F354" t="str">
            <v>Turkey,CPTED,Shoplifting,Shopping malls,Formal surveillance,Informal surveillance</v>
          </cell>
          <cell r="H354" t="str">
            <v>Q4</v>
          </cell>
        </row>
        <row r="355">
          <cell r="B355" t="str">
            <v>10.1108/SGPE-07-2022-0052</v>
          </cell>
          <cell r="C355" t="str">
            <v>"PurposeThe purpose of this study is to seek answers to how receiving his PhD at the University of Alabama influenced the authorâ€™s ongoing academic discourse socialization as an international graduate student coming from Turkey. To that end, the author incorporates second language and academic discourse socialization theories with the concept of â€œdesireâ€ in TESOL.Design/methodology/approachIn this autoethnographic paper, the author discusses his academic discourse socialization as an international graduate student in the form of an evocative autoethnography of socialization. The author uses data gathered through his personal memory in the form of self-reflections. Using Changâ€™s â€œchronicling the past strategyâ€ (2008, p. 72), the author prepared a data chart, which included information regarding the data source, its mode, time, venue and stories gleaned. The author used this data chart as a self-generated document to guide him through the selection process of his personal memories in an organized way while writing mystory.FindingsThe findings show that his academic discourse socialization was mainly influenced by the attitudes of local US citizensâ€™ and existing members of international communities in both on- and off-campus settings. Over time, his academic discourse socialization turned out to be a complex process where the author oftentimes found himself struggling to find an entry point in extracurricular conversations and interactions.Research limitations/implicationsThe author recommends further research to focus on the inner worlds of both old(er) timers and newcomers to understand the challenges, emotions and nuances that are at play in both L2 socialization and academic discourse socialization of international students.Originality/valueIn this autoethnographic study, the author offers a unique example of an international PhD studentâ€™s transnational socialization experiences. Future international students, higher education administrators, faculty members and local graduate students may learn from his autoethnography and approach their future academic relationships in a more informed way."</v>
          </cell>
          <cell r="E355" t="str">
            <v>EDUCATION &amp; EDUCATIONAL RESEARCH</v>
          </cell>
          <cell r="F355" t="str">
            <v>Desire,International students,Academic discourse socialization,Evocative autoethnography,Personal memory,Self-reflection</v>
          </cell>
          <cell r="H355" t="str">
            <v>Q2</v>
          </cell>
        </row>
        <row r="356">
          <cell r="B356" t="str">
            <v>10.1108/SRJ-04-2020-0145</v>
          </cell>
          <cell r="C356" t="str">
            <v>"PurposeGlobal governmentality to deal with refugee crises and related cohesion problems suggests the private sectorâ€™s activation. The purpose of this study is to theoretically understand this preference together with the global increase of corporate social responsibility (CSR) and empirically access the CSR implementation in Turkey by focussing on government policy towards refugee education for Syrian children in Turkey.Design/methodology/approachThis study offers insights into the picture of CSR implementation in Turkey deriving from an analysis of secondary data, obtained from multiple sources. This analysis is examined in the context of refugee education with the position of Turkish Government.FindingsThis study reveals an increase of the private sectorâ€™s role in refugee education at the global level by CSR implementations besides privatization of national education. It determines Turkish CSR picture is still developing, but bodies of Turkish government persisting its â€œsoft powerâ€ are seen as CSR projectsâ€™ indispensable partner. It discusses the meaning of digital solutions in refugee education and attempts at using technological innovations to supply language training in the CSR context.Originality/valueAlthough plenty of research has been conducted on the refugee education, CSR in the countries faced with large refugee influxes has not received enough attention in the literature. This study attempts to fill the gap in literature dealing with CSR implementations in refugee education. It also contributes to the understanding of the Turkish context of CSR."</v>
          </cell>
          <cell r="E356" t="str">
            <v>MANAGEMENT</v>
          </cell>
          <cell r="F356" t="str">
            <v>Syrian refugees,Corporate social responsibility,Private sector,Refugee education,Civil society,Digital solutions</v>
          </cell>
          <cell r="H356" t="str">
            <v>Q2</v>
          </cell>
        </row>
        <row r="357">
          <cell r="B357" t="str">
            <v>10.1109/ACCESS.2021.3081529</v>
          </cell>
          <cell r="C357" t="str">
            <v>"We propose a strategy that focuses on estimating the number of people in a crowd, one of the aims of crowd analysis, using static images or video images. While manual feature extraction was not performed with pixel and regression-based methods in the first studies on crowd analysis, recent studies use Convolutional Neural Networks (CNN) based models. However, it is still difficult to extract spatial information such as position, orientation, posture, and angular value for crowd estimation from a density map. This study uses capsule networks and routing by agreement algorithm as an attention module. Our proposed approach consists of both CNN and capsule network-based attention modules in a two-column deep neural network architecture. We evaluate our proposed approach compared with other state-of-the-art methods using three well-known datasets: UCF-QNRF, UCF_CC_50, UCSD, ShangaiTech Part A, and WorldExpoâ€™10."</v>
          </cell>
          <cell r="E357" t="str">
            <v>COMPUTER SCIENCE, INFORMATION SYSTEMS|ENGINEERING, ELECTRICAL &amp; ELECTRONIC|TELECOMMUNICATIONS</v>
          </cell>
          <cell r="F357" t="str">
            <v>Feature extraction,Estimation,Task analysis,Adaptation models,Distortion,Predictive models,Analytical models,Capsule attention,crowd counting,density map,multi-column CNN</v>
          </cell>
          <cell r="H357" t="str">
            <v>Q2</v>
          </cell>
        </row>
        <row r="358">
          <cell r="B358" t="str">
            <v>10.1109/ACCESS.2021.3112938</v>
          </cell>
          <cell r="C358" t="str">
            <v>"Cataract is one of the most common eye disorders that causes vision distortion. Accurate and timely detection of cataracts is the best way to control the risk and avoid blindness. Recently, artificial intelligence-based cataract detection systems have been received research attention. In this paper, a novel deep neural network, namely CataractNet, is proposed for automatic cataract detection in fundus images. The loss and activation functions are tuned to train the network with small kernels, fewer training parameters, and layers. Thus, the computational cost and average running time of CataractNet are significantly reduced compared to other pre-trained Convolutional Neural Network (CNN) models. The proposed network is optimized with the Adam optimizer. A total of 1130 cataract and non-cataract fundus images are collected and augmented to 4746 images to train the model. For avoiding the over-fitting problem, the dataset is extended through augmentation before model training. Experimental results prove that the proposed method outperforms the state-of-the-art cataract detection approaches with an average accuracy of 99.13%."</v>
          </cell>
          <cell r="E358" t="str">
            <v>COMPUTER SCIENCE, INFORMATION SYSTEMS|ENGINEERING, ELECTRICAL &amp; ELECTRONIC|TELECOMMUNICATIONS</v>
          </cell>
          <cell r="F358" t="str">
            <v>Cataracts,Feature extraction,Blindness,Support vector machines,Deep learning,Convolutional neural networks,Ultrasonic imaging,Cataract detection,fundus images,neural network,classification</v>
          </cell>
          <cell r="H358" t="str">
            <v>Q2</v>
          </cell>
        </row>
        <row r="359">
          <cell r="B359" t="str">
            <v>10.1109/ACCESS.2021.3138021</v>
          </cell>
          <cell r="C359" t="str">
            <v>"Acne scarring occurs in 95% of people with acne vulgaris due to collagen loss or gains when the body is healing the damages of the skin caused by acne inflammation. Accurate classification of acne scars is a vital factor in providing a timely, effective treatment protocol. Dermatologists mainly recognize the type of acne scars manually based on visual inspections, which are time- and energy-consuming and subject to intra- and inter-reader variability. In this paper, a novel automated acne scar classification system is proposed based on a deep Convolutional Neural Network (CNN) model. First, a dataset of 250 images from five different classes is collected and labeled by four well-experienced dermatologists. The pre-processed input images are fed into our proposed model, namely ScarNet, for deep feature map extraction. The optimizer, loss function, activation functions, filter and kernel sizes, regularization methods, and the batch size of the proposed architecture are tuned so that the classification performance is maximized while minimizing the computational cost. Experimental results demonstrate the feasibility of the proposed method with accuracy, specificity, and kappa score of 92.53%, 95.38%, and 76.7%, respectively."</v>
          </cell>
          <cell r="E359" t="str">
            <v>COMPUTER SCIENCE, INFORMATION SYSTEMS|ENGINEERING, ELECTRICAL &amp; ELECTRONIC|TELECOMMUNICATIONS</v>
          </cell>
          <cell r="F359" t="str">
            <v>Skin,Feature extraction,Convolutional neural networks,Support vector machines,Diseases,Computational modeling,Kernel,Acne scars,dataset,image classification,CNN,skin disorder,skin image analysis</v>
          </cell>
          <cell r="H359" t="str">
            <v>Q2</v>
          </cell>
        </row>
        <row r="360">
          <cell r="B360" t="str">
            <v>10.1109/ACCESS.2022.3152785</v>
          </cell>
          <cell r="C360" t="str">
            <v>"Selective image segmentation is one of the most significant subjects in medical imaging and real-world applications. We present a robust selective segmentation model based on local spatial distance utilizing a dual-level set variational formulation in this study. Our concept tries to partition all objects using a global level set function and the selected item using a different level set function (local). Our model combines the marker distance function, edge detection, local spatial distance, and active contour without edges into one. The new model is robust to noise and gives better performance for images having intensity in-homogeneity (background and foreground). Moreover, we observed that the proposed model captures objects which do not have uniform features. The experimental results show that our model is robust to noise and works better than the other existing models."</v>
          </cell>
          <cell r="E360" t="str">
            <v>COMPUTER SCIENCE, INFORMATION SYSTEMS|ENGINEERING, ELECTRICAL &amp; ELECTRONIC|TELECOMMUNICATIONS</v>
          </cell>
          <cell r="F360" t="str">
            <v>Image segmentation,Mathematical models,Image edge detection,Computational modeling,Level set,Active contours,Motion segmentation,Euler-Lagrange equation,selective segmentation,level set function,local spatial distance,local similarity factor</v>
          </cell>
          <cell r="H360" t="str">
            <v>Q2</v>
          </cell>
        </row>
        <row r="361">
          <cell r="B361" t="str">
            <v>10.1109/ACCESS.2022.3177652</v>
          </cell>
          <cell r="C361" t="str">
            <v>"The number of online social network (OSN) users is increasing daily and attacks and threats against over the time spent on online networks has been increasing equally. Attacks against OSN users exploit not only system vulnerabilities but also user-induced vulnerabilities, which naturally affect the hackerâ€™s attack strategy as well. This study is designed to investigate the effect of social media user behaviors on their vulnerability level in terms of security and privacy. The study was conducted survey methods, which was applied to social media users in two countries -Turkey and Iraq. This study documents and analyzes the behaviors of 700 OSN users in two countries. This study examines the behaviors of social media users from two nationalities, investigating whether there is a relationship between social media usersâ€™ behaviors and security and privacy threats. Research findings demonstrate that there is a significant relationship between OSN usersâ€™ behaviors and their attitudes towards security and privacy. Additionally, Turkish social media users pay more attention to their behaviors in terms of privacy and security awareness than Iraq users."</v>
          </cell>
          <cell r="E361" t="str">
            <v>COMPUTER SCIENCE, INFORMATION SYSTEMS|ENGINEERING, ELECTRICAL &amp; ELECTRONIC|TELECOMMUNICATIONS</v>
          </cell>
          <cell r="F361" t="str">
            <v>Social networking (online),Privacy,Security,Behavioral sciences,Internet,Phishing,Faces,Cyber attack,cyber security,online social network (OSN),social media,user online behavior</v>
          </cell>
          <cell r="H361" t="str">
            <v>Q2</v>
          </cell>
        </row>
        <row r="362">
          <cell r="B362" t="str">
            <v>10.1109/ACCESS.2022.3195295</v>
          </cell>
          <cell r="C362" t="str">
            <v>"Recently, learned image compression algorithms have shown incredible performance compared to classic hand-crafted image codecs. Despite its considerable achievements, the fundamental disadvantage is not optimized for retaining local redundancies, particularly non-repetitive patterns, which have a detrimental influence on the reconstruction quality. This paper introduces the autoencoder-style network-based efficient image compression method, which contains three novel blocks, i.e., adjacent attention block, Gaussian merge block, and decoded image refinement block, to improve the overall image compression performance. The adjacent attention block allocates the additional bits required to capture spatial correlations (both vertical and horizontal) and effectively remove worthless information. The Gaussian merge block assists the rate-distortion optimization performance, while the decoded image refinement block improves the defects in low-resolution reconstructed images. A comprehensive ablation study analyzes and evaluates the qualitative and quantitative capabilities of the proposed model. Experimental results on two publicly available datasets reveal that our method outperforms the state-of-the-art methods on the KODAK dataset (by around 4dB and 5dB) and CLIC dataset (by about 4dB and 3dB) in terms of PSNR and MS-SSIM."</v>
          </cell>
          <cell r="E362" t="str">
            <v>COMPUTER SCIENCE, INFORMATION SYSTEMS|ENGINEERING, ELECTRICAL &amp; ELECTRONIC|TELECOMMUNICATIONS</v>
          </cell>
          <cell r="F362" t="str">
            <v>Image coding,Image reconstruction,Entropy,Transform coding,Entropy coding,Bit rate,Rate-distortion,Image compression,attention mechanisms,Gaussian merge block,refinement block,autoencoder</v>
          </cell>
          <cell r="H362" t="str">
            <v>Q2</v>
          </cell>
        </row>
        <row r="363">
          <cell r="B363" t="str">
            <v>10.1109/ACCESS.2023.3237643</v>
          </cell>
          <cell r="C363" t="str">
            <v>"The increasing transformation from the legacy power grid to the smart grid brings new opportunities and challenges to power system operations. Bidirectional communications between home-area devices and the distribution system empower smart grid functionalities. More granular energy consumption data flows through the grid and enables better smart grid applications. This may also lead to privacy violations since the data can be used to infer the consumerâ€™s residential behavior, so-called power signature. Energy utilities mostly aggregate the data, especially if the data is shared with stakeholders for the management of market operations. Although this is a privacy-friendly approach, recent works show that this does not fully protect privacy. On the other hand, some applications, like nonintrusive load monitoring, require disaggregated data. Hence, the challenging problem is to find an efficient way to facilitate smart grid operations without sacrificing privacy. In this paper, we propose a privacy-preserving scheme that leverages consumer privacy without reducing accuracy for smart grid applications like load monitoring. In the proposed scheme, we use a trusted execution environment (TEE) to protect the privacy of the data collected from smart appliances (SAs). The scheme allows customer-oriented smart grid applications as the scheme does not use regular aggregation methods but instead uses customer-oriented aggregation to provide privacy. Hence the accuracy loss stemming from disaggregation is prevented. Our scheme protects the transferred consumption data all the way from SAs to Utility so that possible false data injection attacks on the smart meter that aims to deceive the energy request from the grid are also prevented. We conduct security and game-based privacy analysis under the threat model and provide performance analysis of our implementation. Our results demonstrate that the proposed method overperforms other privacy methods in terms of communication and computation cost. The execution time of aggregation for 10,000 customers, each has 20 SAs is approximately 1 second. The decryption operations performed on the TEE have a linear complexity e.g., 172800 operations take around 1 second while 1728000 operations take around 10 seconds. These results can scale up using cloud or hyper-scalers for real-world applications as our scheme performs offline aggregation."</v>
          </cell>
          <cell r="E363" t="str">
            <v>COMPUTER SCIENCE, INFORMATION SYSTEMS|ENGINEERING, ELECTRICAL &amp; ELECTRONIC|TELECOMMUNICATIONS</v>
          </cell>
          <cell r="F363" t="str">
            <v>Data privacy,Smart grids,Privacy,Smart meters,Cryptography,Home appliances,Data protection,Smart grid,load monitoring,privacy,security,trusted execution environment</v>
          </cell>
          <cell r="H363" t="str">
            <v>Q2</v>
          </cell>
        </row>
        <row r="364">
          <cell r="B364" t="str">
            <v>10.1109/ACCESS.2023.3238105</v>
          </cell>
          <cell r="C364" t="str">
            <v>"The design of a compact and wideband circularly polarized (CP) Monopulse antenna is presented. Firstly, the small-sized antenna element (13mm $\\times13$ mm), with the impedance bandwidth (BW) of 80.5% (4.3-10.1 GHz) and axial ratio (AR) bandwidth of 48.1% (6-9.8 GHz), and the gain of 7.2 dBic is designed. The array structure consists of two rat-race couplers; two metalized via holes that generate sum and difference patterns, and four branch-line couplers for CP characteristic improvement. The proposed antenna is capable of controlling CP diversity in both sum and difference beams. Additionally, with 50% BW and 25% 3-dB AR results and also with null-depth of less than âˆ’48 dB, it is a convenient design for tracking purposes."</v>
          </cell>
          <cell r="E364" t="str">
            <v>COMPUTER SCIENCE, INFORMATION SYSTEMS|ENGINEERING, ELECTRICAL &amp; ELECTRONIC|TELECOMMUNICATIONS</v>
          </cell>
          <cell r="F364" t="str">
            <v>Wideband,circularly polarized,monopulse antenna,polarization diversity</v>
          </cell>
          <cell r="H364" t="str">
            <v>Q2</v>
          </cell>
        </row>
        <row r="365">
          <cell r="B365" t="str">
            <v>10.1109/ACCESS.2023.3252887</v>
          </cell>
          <cell r="C365" t="str">
            <v>"We propose two novel surrogate measures to predict the validation accuracy of the classification produced by a given neural architecture, thus eliminating the need to train it, in order to speed up neural architecture search (NAS). The surrogate measures are based on a solution similarity network, where distance between solutions is measured using the binary encoding of some graph sub-components of the neural architectures. These surrogate measures are implemented within local search and differential evolution algorithms and tested on NAS-Bench-101 and NAS-Bench-301 datasets. The results show that the performance of the similarity-network-based predictors, as measured by correlation between predicted and true accuracy values, are comparable to the state-of-the-art predictors in the literature, however they are significantly faster in achieving these high correlation values for NAS-Bench-101. Furthermore, in some cases, the use of these predictors significantly improves the search performance of the equivalent algorithm (differential evolution or local search) that does not use the predictor."</v>
          </cell>
          <cell r="E365" t="str">
            <v>COMPUTER SCIENCE, INFORMATION SYSTEMS|ENGINEERING, ELECTRICAL &amp; ELECTRONIC|TELECOMMUNICATIONS</v>
          </cell>
          <cell r="F365" t="str">
            <v>Computer architecture,Prediction algorithms,Predictive models,Benchmark testing,Correlation,Encoding,Computational modeling,Neural architecture search,surrogate model,similarity-based prediction,evolutionary algorithm</v>
          </cell>
          <cell r="H365" t="str">
            <v>Q2</v>
          </cell>
        </row>
        <row r="366">
          <cell r="B366" t="str">
            <v>10.1109/ACCESS.2023.3268642</v>
          </cell>
          <cell r="C366" t="str">
            <v>"We present a practical realization of Rivest-Shamir-Adleman (RSA) with a 2048-bit key on MSP430, a widely used microcontroller in wireless sensor network and Internet of things applications, and show that 2048-bit RSA is feasible on a constrained microcontroller. We exploit several methods for acceleration, e.g. Montgomery modular multiplication, subtractive Karatsuba-Ofman and Chinese remainder theorem (CRT) based modular exponentiation, and achieve RSA encryption and decryption with a 2048-bit key on MSP430 in just 0.14 s and 7.56 s, respectively. Our implementation on the low-end MSP430 microcontroller achieves 2048-bit RSA significantly faster (&lt;inline-formula&gt; &lt;tex-math notation=\"LaTeX\"&gt;$\\times 2.9$ &lt;/tex-math&gt;&lt;/inline-formula&gt; and &lt;inline-formula&gt; &lt;tex-math notation=\"LaTeX\"&gt;$\\times 2.4$ &lt;/tex-math&gt;&lt;/inline-formula&gt; for encryption and decryption) with respect to the existing implementation in the literature on the comparable ATmega128 microcontroller. While our implementation is secure against the brute force attack due to its 2048-bit key, and thus 112-bit security level, it also includes the necessary side-channel countermeasures, e. g. message and key blinding, to help mitigate implementation attacks such as simple power analysis and differential power analysis."</v>
          </cell>
          <cell r="E366" t="str">
            <v>COMPUTER SCIENCE, INFORMATION SYSTEMS|ENGINEERING, ELECTRICAL &amp; ELECTRONIC|TELECOMMUNICATIONS</v>
          </cell>
          <cell r="F366" t="str">
            <v>CRT exponentiation,embedded systems,Internet of Things,Karatsuba-Ofman,public-key cryptography,Rivest-Shamir-Adelman,RSA,side-channel resistant,wireless sensor networks</v>
          </cell>
          <cell r="H366" t="str">
            <v>Q2</v>
          </cell>
        </row>
        <row r="367">
          <cell r="B367" t="str">
            <v>10.1109/TEM.2019.2924199</v>
          </cell>
          <cell r="C367" t="str">
            <v>"The considerations of global sustainability have dramatically increased the importance of the remanufacturing process. Many scholars have started focusing on this vital area from both a management and an engineering point of view. Previous studies have aimed to categorize this area using traditional review approaches, using a smaller body of literature and mostly focusing on the managerial aspects of remanufacturing. Our paper is the only study for which tech-mining and scientometric methods are used to examine remanufacturing research, for the purpose of identifying top actors and key trends with regard to business and technological approaches. We combine both management- and engineering-related studies in this scientometric study. The results shed light on the principal actors, nations, organizations, and scientific domains in this field. Remanufacturing research is categorized using the co-occurrence-based clustering method. This paper identifies four broad research clusters: production planning and control of remanufacturing, material and remanufacturing engineering, supply chain management of remanufacturing process, and remanufacturing applications and new trends. This paper offers benefits to numerous parties: policymakers in the remanufacturing field, academics who wish to see the research domains, and those practitioners interested in the key management, processes, and technologies of remanufacturing activities."</v>
          </cell>
          <cell r="E367" t="str">
            <v>BUSINESS|ENGINEERING, INDUSTRIAL|MANAGEMENT</v>
          </cell>
          <cell r="F367" t="str">
            <v>Bibliometrics,Manufacturing,Economics,Sustainable development,Industries,Organizations,Data visualization,remanufacturing,sciento-metrics,tech-mining,technology analysis</v>
          </cell>
          <cell r="H367" t="str">
            <v>Q1</v>
          </cell>
        </row>
        <row r="368">
          <cell r="B368" t="str">
            <v>10.1109/TEM.2020.3027973</v>
          </cell>
          <cell r="C368" t="str">
            <v>"Crowdsourcing is a multidisciplinary research area that represents a rapidly expanding field where new applications are constantly emerging. Research in this area has investigated its use for citizen science in data gathering for research and crowdsourcing for industrial innovation. Previous studies have reviewed and categorized crowdsourcing research using qualitative methods. This has led to the limited coverage of the entire field, using smaller discrete parts of the literature and mostly reviewing the industrial aspects of crowdsourcing. This study uses a scientometric analysis of 7059 publications over the period 2006â€“2019 to map crowdsourcing research to identify clusters and applications. Our results are the first in the literature to map crowdsourcing research holistically. In this article, we classify its usage in the three domains of innovation, engineering, and science, where 11 categories and 26 subcategories are further developed. The results of this article reveal that the most active scientific clusters where crowdsourcing is used are environmental sciences and ecology. For the engineering domain, it is computer science, telecommunication, and operations research. In innovation, idea crowdsourcing, crowdfunding, and crowd creation are the most frequent areas. The findings of this study map crowdsourcing usage across different fields and illustrate emerging crowdsourcing applications."</v>
          </cell>
          <cell r="E368" t="str">
            <v>BUSINESS|ENGINEERING, INDUSTRIAL|MANAGEMENT</v>
          </cell>
          <cell r="F368" t="str">
            <v>Crowdsourcing,Technological innovation,Bibliometrics,Market research,Data collection,Task analysis,Organizations,Crowdsourcing,emerging clusters,research trends,scientometric,text mining</v>
          </cell>
          <cell r="H368" t="str">
            <v>Q1</v>
          </cell>
        </row>
        <row r="369">
          <cell r="B369" t="str">
            <v>10.1109/TEM.2021.3068310</v>
          </cell>
          <cell r="C369" t="str">
            <v>"Technology roadmapping is a widely accepted method for offering industry foresight as it supports strategic innovation management and identifies the potential application of emerging technologies. While roadmapping applications have been implemented across different technologies and industries, prior studies have not addressed the potential application of emerging technologies in the retail industry. Furthermore, few studies have examined service-oriented technologies by a roadmapping method. Methodologically, there are limited roadmapping studies that implement both quantitative and qualitative approaches. Hence, this article aims to offer a foresight for future technologies in the retailing industry using an integrated roadmapping method. To achieve this, we used a sequential method that consisted of both text mining and an expert review process. Our results show clear directions for the future of emerging technologies as the industry moves toward unmanned retail operations. We generate eight clusters of technologies and integrate them into a roadmapping model, illustrating their links to the market and business requirements. Our study has a number of implications and identifies potential bottlenecks between the integration of front- and back-end solutions for the future of unmanned retailing."</v>
          </cell>
          <cell r="E369" t="str">
            <v>BUSINESS|ENGINEERING, INDUSTRIAL|MANAGEMENT</v>
          </cell>
          <cell r="F369" t="str">
            <v>Industries,Business,Patents,Text mining,Planning,Search problems,Tools,Emerging technologies,foresight,patent analysis,retail technologies,technology roadmapping,text mining</v>
          </cell>
          <cell r="H369" t="str">
            <v>Q1</v>
          </cell>
        </row>
        <row r="370">
          <cell r="B370" t="str">
            <v>10.1109/TEM.2021.3127755</v>
          </cell>
          <cell r="C370" t="str">
            <v>"This article studies the impact of return disposal on production order variance in a hybrid production system with both manufacturing and remanufacturing options. Using discrete event simulation, Push- and Pull-Disposal inventory control strategies are compared in terms of production order variance, which causes the bullwhip effect. A variety of scenarios for each system, based on different disposal rates, manufacturing/remanufacturing lead time ratios, and various cost parameters, are considered. According to our findings in most of the scenarios increasing the disposal rate leads to lower production order variance values. Utilizing Push- or Pull-Disposal inventory control policies does not affect production order variance significantly. In cases where remanufacturing is markedly profitable and manufacturing and remanufacturing setup costs are close to each other, low disposal levels may result in higher order variance values, which cause additional costs due to missed production schedules, poorly conceived capacity plans, excessive inventory investment, and inefficient transportation. Managers who plan to remanufacture with disposal option should study the hybrid production system thoroughly to reveal hidden costs and take all the costs into account properly by their feasibility calculations. Managerial relevance statement: Remanufacturing is a product recovery process where the quality of recovered products are as good as manufactured new products. A manager considering remanufacturing along with manufacturing in the plant, should carefully examine the hybrid manufacturing and remanufacturing production system beforehand to reveal all hidden costs. These costs may be incurred by additional uncertainties specific to such hybrid production systems and cause production and inventory costs of such systems to be higher than that of traditional manufacturing systems. In this regard, remanufacturing may increase order variance in a plant and cause difficulty in capacity planning and thus induce additional costs. Therefore, managers should decide whether to remanufacture all returned products that are qualified for remanufacturing. Managers should be aware that remanufacturing all the returns might not be the best choice every time. Adopting other return handling options like disposal could be more cost-effective. To improve production stabilization, managers may determine an appropriate disposal level, which reduces order variance in the plant, by considering their specific productionparameter settings."</v>
          </cell>
          <cell r="E370" t="str">
            <v>BUSINESS|ENGINEERING, INDUSTRIAL|MANAGEMENT</v>
          </cell>
          <cell r="F370" t="str">
            <v>Costs,Production systems,Production,Manufacturing,Supply chains,Uncertainty,Inventory control,Bullwhip effect,disposal,order variance,production and inventory control,remanufacturing,simulation</v>
          </cell>
          <cell r="H370" t="str">
            <v>Q1</v>
          </cell>
        </row>
        <row r="371">
          <cell r="B371" t="str">
            <v>10.1109/TEM.2023.3283779</v>
          </cell>
          <cell r="C371" t="str">
            <v>"Current research and development investments and innovation developments show that there are more failed innovation attempts than ever and there are numerous occasions where companies need to be highly selective by assessing customersâ€™ needs or preferences. Crowdfunding is a great approach for this purpose, where investments are made if there are funders who are interested in the proposed innovations. As crowdfunding platforms have proved to assist in the introduction of innovations, the details of these projects can be a great inspiration for others. The aim of this study is to integrate crowdfunding projects into innovation and product developments as a source of potential ideas and trends. We use a text mining approach to analyze 8021 crowdfunding projects from the period 2009â€“2018. In this study, we cluster these projects into nine innovation areas desired by consumers. Through our methodological approach, we examine the linkage between associated text, features of projects, and funding of projects to uncover emerging product features that illustrate the desires of consumers. Our proposed model offers theoretical contributions to the innovation processes, especially the fuzzy front end with an open innovation approach. We provide practical contributions by revealing crowdfunding platforms as a means to gain insights into product elements for the design of new products and services."</v>
          </cell>
          <cell r="E371" t="str">
            <v>BUSINESS|ENGINEERING, INDUSTRIAL|MANAGEMENT</v>
          </cell>
          <cell r="F371" t="str">
            <v>Crowdfunding,customer-centric innovation,fuzzy front end (FFE),innovation process,text mining</v>
          </cell>
          <cell r="H371" t="str">
            <v>Q1</v>
          </cell>
        </row>
        <row r="372">
          <cell r="B372" t="str">
            <v>10.1109/TEM.2023.3310198</v>
          </cell>
          <cell r="C372" t="str">
            <v>"Systems of innovation (SI) studies previously considered innovation at different geographical levels and with different foci on actors and processes. However, the boundaries of the SI concepts are becoming blurry and shifting due to technological and economic factors, globalization and interdependence between countries and firms. Previous literature has limitations to address shifting boundaries by assessing SI literature holistically. This study set out to understand the overlaps of SI concepts. It aims at delimiting the SI field, delineating boundaries and at determining the topics underlying the SI and overlaps. Context-specific synergies become transparent, enabling decision-makers and researchers to consider economic interrelationships in a topic-specific and cross-system perspective. The study uses deep learning in combination with natural language processing on data consisting of 2380 SI literature related article abstracts retrieved from Web of Science and EBSCO research databases to capture the semantic context of topics, whereas external information is used to cross-validate interrelationships and to observe topic distribution. The findings reveal significant proportions of overlaps between SI apart from regional and technological systems. Various topics that are discussed within the SI literature such as industrial clusters and structures is a common topic for all SI. This illustrates that economic topics are contextually or theoretically not bound to a system but distributed across the entire literature. We therefore provide a structured framework to illustrate SI overlaps and to address topic synergies. Our study contributes to the body of literature where SI boundaries are investigated specifically to the determination of system overlaps, reasoning of their identical SI characteristics and examination of cross-system thematic synergies."</v>
          </cell>
          <cell r="E372" t="str">
            <v>BUSINESS|ENGINEERING, INDUSTRIAL|MANAGEMENT</v>
          </cell>
          <cell r="F372" t="str">
            <v>Technological innovation,Economics,Biological system modeling,Semantics,Silicon,Reliability,Natural language processing,Artificial intelligence (AI),artificial neural network,deep learning,economic systems,innovation policy,large language model (LLM),natural language processing,systems of innovation,topic modeling</v>
          </cell>
          <cell r="H372" t="str">
            <v>Q1</v>
          </cell>
        </row>
        <row r="373">
          <cell r="B373" t="str">
            <v>10.1109/TMM.2022.3222932</v>
          </cell>
          <cell r="C373" t="str">
            <v>"Maintaining spatial and temporal consistency in the inpainted video area of the video is a challenging problem. Recent research focuses on flow information for synthesizing temporally smooth pixels while neglecting semantic structural coherence across the video frames. Thus, it suffers from over-smoothing and shadowy outlines that significantly degrade the inpainted video quality. We propose an end-to-end consistent video inpainting model that will substantially improve the inpainted video region to overcome this problem. The model employs a deep encoder (DE), axial attention block (AAB), style transformer, and decoder to enhance video inpainting with a realistic structure. A deep encoder (DE) encodes features effectively while the axial attention block (AAB) recreates all retrieved attributes by merging recoverable multi-scale characteristics with local spatial structures. Then, a novel-style transformer with the style manipulation block (SMB) fills the missing area with rich visual elements and temporal coherence. We use two publicly available benchmark datasets to assess the model's performance. Experimental results demonstrate that our method performs better than the state-of-the-art methods by a large margin. Besides, an extensive ablation study validates the model's performance."</v>
          </cell>
          <cell r="E373" t="str">
            <v>COMPUTER SCIENCE, INFORMATION SYSTEMS|COMPUTER SCIENCE, SOFTWARE ENGINEERING|TELECOMMUNICATIONS</v>
          </cell>
          <cell r="F373" t="str">
            <v>Index Terms-Video Inpainting,Deep Encoder,Axial Attention Block,Transformer,Style Manipulation Block,Relative Positional Encoding</v>
          </cell>
          <cell r="H373" t="str">
            <v>Q1</v>
          </cell>
        </row>
        <row r="374">
          <cell r="B374" t="str">
            <v>10.1109/TNSM.2022.3225217</v>
          </cell>
          <cell r="C374" t="str">
            <v>"Malicious advertisement URLs pose a security risk since they are the source of cyber-attacks, and the need to address this issue is growing in both industry and academia. Several attempts have been made in recent years for malicious URL detection using machine learning (ML). The most widely used techniques extract linguistic features of URL string to extract features like bag-of-words (BoW) before applying ML model. Existing malicious URL detection techniques require effective manual feature engineering that can handle unseen features and generalise to test data. In this study, we extract a novel set of lexical and Web-scrapped features and employ ML techniques for fraudulent advertisement URL detection. The combination set of six different kinds of features precisely overcomes the obfuscation in fraudulent URL classification. Based on distinct statistical properties, we use twelve differently formatted datasets for detection, prediction and classification task. We extend our prediction analysis for mismatched and unlabelled datasets. For this framework, we analyze the performance of four ML techniques: Random Forest, Gradient Boost, XGBoost and AdaBoost in the detection part. With our proposed method, we achieve a false negative rate up to 0.0037 while maintaining high detection accuracy of 99.63%. Moreover, we employ an unsupervised learning technique for data clustering using the ${K}$ -Means algorithm for the visual analysis. This paper analyses the vulnerability of decision tree-based models using the limited knowledge attack scenario. We considered the exploratory attack during the test phase and implemented Zeroth Order Optimization adversarial attack on the detection models."</v>
          </cell>
          <cell r="E374" t="str">
            <v>COMPUTER SCIENCE, INFORMATION SYSTEMS</v>
          </cell>
          <cell r="F374" t="str">
            <v>Malicious advertisement URL,cybersecurity,machine learning,Web-scrapped features,classification,clustering,adversarial attack</v>
          </cell>
          <cell r="H374" t="str">
            <v>Q2</v>
          </cell>
        </row>
        <row r="375">
          <cell r="B375" t="str">
            <v>10.1109/TNSM.2023.3267831</v>
          </cell>
          <cell r="C375" t="str">
            <v>"In the past few years, Convolutional Neural Networks (CNN) have demonstrated promising performance in various real-world cybersecurity applications, such as network and multimedia security. However, the underlying fragility of CNN structures poses major security problems, making them inappropriate for use in security-oriented applications, including computer networks. Protecting these architectures from adversarial attacks necessitates using security-wise architectures that are challenging to attack. In this study, we present a novel architecture based on an ensemble classifier that combines the enhanced security of 1-Class classification (known as 1C) with the high performance of conventional 2-Class classification (known as 2C) in the absence of attacks. Our architecture is referred to as the 1.5-Class (cmb-classifier) classifier and is constructed using a final dense classifier, one 2C classifier (i.e., CNNs), and two parallel 1C classifiers (i.e., auto-encoders). In our experiments, we evaluated the robustness of our proposed architecture by considering eight possible adversarial attacks in various scenarios. We performed these attacks on the 2C and cmb-classifier architectures separately. The experimental results of our study showed that the Attack Success Rate (ASR) of the I-FGSM attack against a 2C classifier trained with the N-BaIoT dataset is 0.9900. In contrast, the ASR is 0.0000 for the cmb-classifier."</v>
          </cell>
          <cell r="E375" t="str">
            <v>COMPUTER SCIENCE, INFORMATION SYSTEMS</v>
          </cell>
          <cell r="F375" t="str">
            <v>Adversarial machine learning,counter-forensics,secure classification,deep-learning security,adversarial examples,adversarial attacks,ensemble classifiers,cybersecurity</v>
          </cell>
          <cell r="H375" t="str">
            <v>Q2</v>
          </cell>
        </row>
        <row r="376">
          <cell r="B376" t="str">
            <v>10.1109/TWC.2020.3042169</v>
          </cell>
          <cell r="C376" t="str">
            <v>"We study age of information in a multiple source-multiple destination setting with a focus on its scaling in large wireless networks. There are &lt;inline-formula&gt; &lt;tex-math notation=\"LaTeX\"&gt;$n$ &lt;/tex-math&gt;&lt;/inline-formula&gt; nodes uniformly and independently distributed on a fixed area that are randomly paired with each other to form &lt;inline-formula&gt; &lt;tex-math notation=\"LaTeX\"&gt;$n$ &lt;/tex-math&gt;&lt;/inline-formula&gt; source-destination (S-D) pairs. Each source node wants to keep its destination node as up-to-date as possible. To accommodate successful communication between all &lt;inline-formula&gt; &lt;tex-math notation=\"LaTeX\"&gt;$n$ &lt;/tex-math&gt;&lt;/inline-formula&gt; S-D pairs, we first propose a three-phase transmission scheme which utilizes local cooperation between the nodes along with what we call &lt;italic&gt;mega update packets&lt;/italic&gt; to serve multiple S-D pairs at once. We show that under the proposed scheme average age of an S-D pair scales as &lt;inline-formula&gt; &lt;tex-math notation=\"LaTeX\"&gt;$O\\left({n^{\\frac {1}{4}}\\log n}\\right)$ &lt;/tex-math&gt;&lt;/inline-formula&gt; as the number of users, &lt;inline-formula&gt; &lt;tex-math notation=\"LaTeX\"&gt;$n$ &lt;/tex-math&gt;&lt;/inline-formula&gt;, in the network grows. Next, we observe that communications that take place in Phases I and III of the proposed scheme are scaled-down versions of network-level communications. With this along with scale-invariance of the system, we introduce hierarchy to improve this scaling result and show that when &lt;italic&gt;hierarchical cooperation&lt;/italic&gt; between users is utilized, an average age scaling of &lt;inline-formula&gt; &lt;tex-math notation=\"LaTeX\"&gt;$O(n^{\\alpha (h)}\\log n)$ &lt;/tex-math&gt;&lt;/inline-formula&gt; per-user is achievable, where &lt;inline-formula&gt; &lt;tex-math notation=\"LaTeX\"&gt;$h$ &lt;/tex-math&gt;&lt;/inline-formula&gt; denotes the number of hierarchy levels and &lt;inline-formula&gt; &lt;tex-math notation=\"LaTeX\"&gt;$\\alpha (h) = \\frac {1}{3\\cdot 2^{h}+1}$ &lt;/tex-math&gt;&lt;/inline-formula&gt;. We note that &lt;inline-formula&gt; &lt;tex-math notation=\"LaTeX\"&gt;$\\alpha (h)$ &lt;/tex-math&gt;&lt;/inline-formula&gt; tends to 0 as &lt;inline-formula&gt; &lt;tex-math notation=\"LaTeX\"&gt;$h$ &lt;/tex-math&gt;&lt;/inline-formula&gt; increases, and asymptotically, the average age scaling of the proposed hierarchical scheme is &lt;inline-formula&gt; &lt;tex-math notation=\"LaTeX\"&gt;$O(\\log n)$ &lt;/tex-math&gt;&lt;/inline-formula&gt;. To the best of our knowledge, this is the best average age scaling result in a status update system with multiple S-D pairs."</v>
          </cell>
          <cell r="E376" t="str">
            <v>ENGINEERING, ELECTRICAL &amp; ELECTRONIC|TELECOMMUNICATIONS</v>
          </cell>
          <cell r="F376" t="str">
            <v>Information age,Throughput,Delays,Wireless networks,Random variables,Spread spectrum communication,Social networking (online),Age of information,scaling laws,large networks,hierarchical cooperation</v>
          </cell>
          <cell r="H376" t="str">
            <v>Q1</v>
          </cell>
        </row>
        <row r="377">
          <cell r="B377" t="str">
            <v>10.1111/1471-0528.16727</v>
          </cell>
          <cell r="C377" t="str">
            <v>"AimTo develop algorithms as decision support tools for identifying, managing and monitoring abnormal uterine activity during labour.PopulationWomen with singleton, term (37â€“42â€‰weeks) pregnancies in active labour at admission.SettingInstitutional birth settings in lowâ€ and middleâ€income countries (the algorithm may be applicable to any health facility).Search strategyPubMed was searched up to January 2020 using keywords. We also searched The Cochrane Library, and international guidelines from World Health Organization (WHO), National Institute for Health and Care Excellence (NICE), American College of Obstetricians and Gynecologists (ACOG) and French College of Gynaecologists and Obstetricians (CNGOF).Case scenariosAlgorithms were developed for two case scenarios: uterine hypoactivity and excessive uterine contractions. Key themes in the algorithm are: diagnosis, identification of probable causes, assessment of maternal and fetal condition and labour progress, monitoring and management.ConclusionThe algorithms for uterine hypoactivity and excessive uterine contractions have been developed to facilitate safe and effective management of abnormal uterine activity during labour. Research is needed to assess the views of healthcare professionals and women accessing healthcare to explore the feasibility of implementing these algorithms, and impact on labour outcomes.Tweetable abstractAn evidenceâ€based algorithm to support clinical management of abnormal uterine activity during labour."</v>
          </cell>
          <cell r="E377" t="str">
            <v>OBSTETRICS &amp; GYNECOLOGY</v>
          </cell>
          <cell r="F377" t="str">
            <v>Abnormal uterine activity,clinical algorithm,labour,uterine contractions,uterine hypoactivity,uterine tachysystole,vaginal birth</v>
          </cell>
          <cell r="H377" t="str">
            <v>Q1</v>
          </cell>
        </row>
        <row r="378">
          <cell r="B378" t="str">
            <v>10.1111/1556-4029.15086</v>
          </cell>
          <cell r="C378" t="str">
            <v>"AbstractThe assessment of national suicide risks is considered critical in many countries for the establishment of suicide prevention initiatives aimed at considerably lowering suicide rates. The aim of this study is to identify atâ€risk suicide populations by reviewing the suicides in Turkey over a 25â€year period. The Turkish Statistical Institute's suicide statistics for 1995â€“2019 in Turkey was retrospectively reviewed in current article. The data collected in the study was statistically analyzed using the MINITAB vn 14 software. Between 1995 and 2019, the total number of suicides in Turkey was 66,819, and suicide rates, especially in males, showed an increasing trend in this period. Males comprised 68.3% of the total cases, and most (27.2%) were aged 15â€“24â€‰years. Suicides mostly occurred between May and July (27.7%), of individuals with a primary school level of education (51.7%) and who were married (6.0 per 100,000). Illness was most important risk factor for suicide (36.8%) and hanging (47.5%) was the leading suicide method in all age groups and in both genders. Despite the fact that Turkey's suicide rate is lower than many other countries, the growth in male suicide rates is concerning. Suicides are likely to become a severe problem in Turkey in the near future unless measures like education, psychiatric evaluations, the reactivation of psychological counseling service phone lines, and the establishment of youth counseling centers, as described in this paper, are taken."</v>
          </cell>
          <cell r="E378" t="str">
            <v>MEDICINE, LEGAL</v>
          </cell>
          <cell r="F378" t="str">
            <v>ages,genders,risk factors for suicide,suicide,suicide methods,suicide precautions</v>
          </cell>
          <cell r="H378" t="str">
            <v>Q3</v>
          </cell>
        </row>
        <row r="379">
          <cell r="B379" t="str">
            <v>10.1111/1744-9987.13913</v>
          </cell>
          <cell r="C379" t="str">
            <v>"AbstractIntroductionPeritoneal fibrosis may progress in peritoneal dialysis (PD) patients to a fatal clinical condition called encapsulating peritoneal sclerosis (EPS). Transforming growth factor (TGF)â€Î² plays a pivotal role in the pathogenesis of peritoneal fibrosis. We aimed to investigate the association among polymorphisms in the gene encoding TGFâ€Î²1, which were âˆ’509C/T (rs1800469), +869T/C (rs1982073), and +915G/C (rs1800471) in EPS patients.MethodsA total of 16 PD patients who were clinically and radiologically diagnosed with EPS were enrolled and 22 ageâ€ and genderâ€matched PD patients were selected as the nonâ€EPS group.ResultsG allele frequency at the rs1800471 gene polymorphism was significantly higher in the EPS group than nonâ€EPS group (pÂ =Â 0.005). Interestingly, the nonâ€EPS group patients had CC or CG polymorphisms.ConclusionC allele in TGFâ€Î²1 rs1800471 gene polymorphisms might indicate a protective feature in EPS development. Knowing the presence of polymorphism may be effective in selecting renal replacement therapy in patients."</v>
          </cell>
          <cell r="E379" t="str">
            <v>HEMATOLOGY|UROLOGY &amp; NEPHROLOGY</v>
          </cell>
          <cell r="F379" t="str">
            <v>encapsulating peritoneal sclerosis,gene polymorphism,peritoneal dialysis,rs1800471,TGF-beta 1</v>
          </cell>
          <cell r="H379" t="str">
            <v>Q3</v>
          </cell>
        </row>
        <row r="380">
          <cell r="B380" t="str">
            <v>10.1111/adj.12982</v>
          </cell>
          <cell r="C380" t="str">
            <v>"AbstractBackgroundGlass fibreâ€reinforced composite (GFRC) has the potential to enhance the mechanical properties of resinâ€based restorations. Nevertheless, the application technique can influence the cervical margin porosity, potentially reducing the mechanical strength of restorations.MethodsIn an in vitro setup, mould specimens underwent six different treatments to assess the effects of snowplow and incremental curing techniques on the properties of GFRC (EverX) and universal resin composite (Filtek). Mechanical properties, namely flexural strength (FS), compressive strength (CS) and Vickers hardness (VH), were evaluated following ISO 4049 standards. Data interpretation utilized the Kruskalâ€“Wallis tests.ResultsNo significant difference emerged across groups for FS. CS in the snowplow method with lesser EverX thickness (SnPl_1) was comparable with only EverX and Filtek (Pâ€‰&gt;â€‰0.05). The CS was reduced in the snowplow technique with greater EverX thickness (SnPl_2) (Pâ€‰&lt;â€‰0.05) and further decreased with the incremental method (Pâ€‰&lt;â€‰0.001). VH results showed that EverX Posterior was consistently softer than Filtek, with specific patterns of hardness variations among different application methods.ConclusionsApplying EverX and Filtek using the snowplow technique delivers superior CS and VH for restorations in contrast to the incremental method. Utilizing the snowplow approach in highâ€stress areas can make restorations more fractureâ€resistant."</v>
          </cell>
          <cell r="E380" t="str">
            <v>DENTISTRY, ORAL SURGERY &amp; MEDICINE</v>
          </cell>
          <cell r="F380" t="str">
            <v>Compressive strength,flexural strength,glass fibre-reinforced composite,incremental,resin composite,restorative composites,snowplow,surface roughness,Vickers hardness</v>
          </cell>
          <cell r="H380" t="str">
            <v>Q3</v>
          </cell>
        </row>
        <row r="381">
          <cell r="B381" t="str">
            <v>10.1111/aej.12714</v>
          </cell>
          <cell r="C381" t="str">
            <v>"The aim of the study was to evaluate the fracture resistance (FR) of teeth with simulated external cervical resorption (ECR) cavities repaired with different materials. Following the shaping of the 80 human permanent maxillary central incisors, standard ECR cavities were prepared and restored with a nanohybrid composite resin; a high viscosity GIC Equia Forte Fill; Biodentine; Biodentineâ€‰+â€‰nanohybrid composite resin; MTA BIOREP; MTA BIOREPâ€‰+â€‰nanohybrid composite resin. Then, the root canals were obturated with AH Plus and gutta-percha. The roots were embedded acrylic resin blocks and fracture strength test was applied. The highest FR was observed in the Biodentine group, while the lowest was in Equia group (pâ€‰&lt;â€‰0.05). No significant results were observed among composite, Biodentineâ€‰+â€‰composite, MTA BIOREPâ€‰+â€‰composite and MTA BIOREP (pâ€‰&gt;â€‰0.05). Biodentine may be a preferable material for repairing ECR cavities. Adding a composite layer on MTA BIOREP and Biodentine did not improve the FR of these materials."</v>
          </cell>
          <cell r="E381" t="str">
            <v>DENTISTRY, ORAL SURGERY &amp; MEDICINE</v>
          </cell>
          <cell r="F381" t="str">
            <v>calcium silicate,external cervical resorption,fracture resistance</v>
          </cell>
          <cell r="H381" t="str">
            <v>Q4</v>
          </cell>
        </row>
        <row r="382">
          <cell r="B382" t="str">
            <v>10.1111/ajco.13942</v>
          </cell>
          <cell r="C382" t="str">
            <v>"AbstractAimThe aim of our study is to examine the clinical, surgical, and pathological factors of stage 1C adult granulosa cell tumor (AGCT) patients and to investigate the effects of adjuvant therapy on recurrence and survival rates in this patient group.MethodsOut of a total of 415 AGCT patients treated by 10 tertiary oncology centers participating in the study, 63 (15.2%) patients with 2014 FIGO stage IC constituted the study group. The FIGO 2014 system was used for staging. Patient group who received adjuvant chemotherapy was compared with patient group who did not receive adjuvant chemotherapy in terms of diseaseâ€free survival (DFS), and diseaseâ€specific survival.ResultsThe 5â€year DFS of the study cohort was 89%, and the 10â€year DFS was 85%. Those who received adjuvant chemotherapy and those who did not were similar in terms of clinical, surgical and pathological factors, except for peritoneal cytology. In the univariate analysis, none of the clinical, surgical or pathological factors were significant for DFS. Adjuvant chemotherapy and type of treatment protocol had no impact on DFS.ConclusionAdjuvant chemotherapy was not associated with improved DFS and overall survival in stage IC AGCT. Multicentric and randomized controlled studies are needed for early stage AGCT in order to confirm these results and reach accurate conclusions."</v>
          </cell>
          <cell r="E382" t="str">
            <v>ONCOLOGY</v>
          </cell>
          <cell r="F382" t="str">
            <v>adjuvant chemotherapy,granulosa cell tumor,ovarian neoplasm,sex-cord stromal tumor</v>
          </cell>
          <cell r="H382" t="str">
            <v>Q4</v>
          </cell>
        </row>
        <row r="383">
          <cell r="B383" t="str">
            <v>10.1111/ajd.13510</v>
          </cell>
          <cell r="C383" t="str">
            <v>"showed the absence of melanocytes in the epidermis and no other changes (Fig. 2a-b). Immunohistochemistry showed negativity for Melan-A (Fig. 2c). He was diagnosed, clinically and pathologically, with vitiligo-like depigmentation induced by Xuesaitong. Published reports of drug-induced vitiligo are rare, with most reports in patients with melanoma receiving immunotherapy. It has been proposed that melanocyte antigens released by the destruction of melanoma cells after immunotherapy could trigger breakdown of the immune tolerance to normal melanocytes. Xuesaitong, a Chinese herbal medicine, mainly consists of Panax notoginseng saponins. The fact that the patient developed depigmentation within two weeks of starting the capsules with rapid spontaneous repigmentation after withdrawal supports the diagnosis of vitiligo-like depigmentation induced by Xuesaitong. It is unclear at present why this extremely rare case occurred in a 21-year-old young man. Prior studies have shown that Panax notoginseng saponins have immunological adjuvant effects on specific antibody production and cellular responses against specific antigens. It also promotes the production of IFN-c and TNF-a. Therefore, we postulate that Panax notoginseng saponins may enhance immune responses to melanocyte antigens. Furthermore, Wei et al reported that Panax notoginseng saponins led to the inhibition of proliferation in regulatory T cells. It has been suggested that decreased regulatory T cells in peripheral blood and lesional skin of patients with vitiligo could lead to weakened immunosuppressive function and, therefore, a reduced threshold for developing autoimmune disorders. However, the depigmented areas in our patient were typical for vitiligo, so the Xuesaitong may have been coincidental and not responsible for this pigmentary loss."</v>
          </cell>
          <cell r="E383" t="str">
            <v>DERMATOLOGY</v>
          </cell>
          <cell r="H383" t="str">
            <v>Q3</v>
          </cell>
        </row>
        <row r="384">
          <cell r="B384" t="str">
            <v>10.1111/and.14366</v>
          </cell>
          <cell r="C384" t="str">
            <v>"Benign prostatic hyperplasia (BPH) is a common problem among elderly men. Recently, laser prostate enucleations have gained popularity with successful results; however, it requires steep learning curves. The initial 60 cases of ThuLEP performed at our centre were retrospectively enrolled. A 200 W CyberTM Thulium laser (Quanta System, Italy) with 550 Âµm fibre was used, and a single surgeon highly experienced with transurethral resection performed all procedures. Patients were divided into three consecutive groups. Preoperative variables such as prostate volume, prostateâ€specific antigen and haemoglobin levels, International Prostate Symptom Score (IPSS), International Index of Erectile Function scores and uroflowmetry parameters were all noted. The enucleated tissue weight, enucleation and morcellation times with efficiencies, hospitalization and catheterization times were calculated. Perioperative complications were also observed. The postoperative 6th month uroflowmetry parameters were evaluated and compared with prior ones. Morcellation and enucleation efficiencies, hospitalization and catheterization times, postoperative IPSS were significantly different between the groups. Complications were also compared between the groups, and only shortâ€term perioperative complications were encountered. We aimed to evaluate initial cases of ThuLEP to provide information for beginners with management of early term possible complications. The learning curve for ThuLEP could be handled after exceeding 20 initial cases."</v>
          </cell>
          <cell r="E384" t="str">
            <v>ANDROLOGY</v>
          </cell>
          <cell r="F384" t="str">
            <v>benign prostate hyperplasia,learning curve,ThuLEP,thulium laser</v>
          </cell>
          <cell r="H384" t="str">
            <v>Q3</v>
          </cell>
        </row>
        <row r="385">
          <cell r="B385" t="str">
            <v>10.1111/and.14616</v>
          </cell>
          <cell r="C385" t="str">
            <v>"Testicular ischaemia reperfusion (I/R) injury results with serious dysfunctions in testis. This study aims to explore effects of soluble guanylate cyclase (sGC) stimulator Riociguat on experimental testicular I/R injury in rats. Twentyâ€one male rats were divided into three groups (Control, IR and IRR). The control group was not exposed to any application. Bilateral testis from IR and IRR animals were rotated 720Â° in opposite directions for 3â€‰h to induce experimental testicular ischaemia. Animals in IR and IRR groups were subjected to 3â€‰h of reperfusion. Isotonic and Riociguat were administered to the animals 30â€‰min prior reperfusion by oral gavage. At the end of experiment, animals were sacrificed and tissue samples were used for analyses. Riociguat treatment significantly decreased tissue malondialdehyde and Luminol levels compared to the IR group (pâ€‰&lt;â€‰0.05). The pathological changes, proâ€apoptotic proteins (Bax, Caspase 3, and Caspase 9) and apoptotic index in the IR group were down regulated in Riociguat treated animals (pâ€‰&lt;â€‰0.05). Riociguat treatment was also significantly increased antiâ€apoptotic Bclâ€2 expression, but alleviated tissue injury via modulating proâ€inflammatory cytokine ILâ€1Î² levels and significantly (pâ€‰&lt;â€‰0.05) downâ€regulating NFâ€ÎºB activity. Moreover, mTOR and ERK phosphorylation increased in IR group (pâ€‰&lt;â€‰0.05), but Riociguat treatment reduced protein phosphorylation. Our experiment indicated that targeting sGC might support surgical interventions in testicular I/R injury by modulating oxidative stress, inflammation, and apoptotic protein expression levels, but more detailed studies are required to explore the protective activity of Riociguat and underlying mechanisms in testicular I/R injury."</v>
          </cell>
          <cell r="E385" t="str">
            <v>ANDROLOGY</v>
          </cell>
          <cell r="F385" t="str">
            <v>ischaemia reperfusion injury,rat,Riociguat,sGC stimulator,testis</v>
          </cell>
          <cell r="H385" t="str">
            <v>Q3</v>
          </cell>
        </row>
        <row r="386">
          <cell r="B386" t="str">
            <v>10.1111/ane.13672</v>
          </cell>
          <cell r="C386" t="str">
            <v>"The aim of this study was to investigate the effects of EMGâ€driven robotic rehabilitation on hand motor functions and daily living activities of patients with acute ischemic stroke."</v>
          </cell>
          <cell r="E386" t="str">
            <v>CLINICAL NEUROLOGY</v>
          </cell>
          <cell r="F386" t="str">
            <v>hand,rehabilitation,robotics,stroke Acute</v>
          </cell>
          <cell r="H386" t="str">
            <v>Q2</v>
          </cell>
        </row>
        <row r="387">
          <cell r="B387" t="str">
            <v>10.1111/bjc.12380</v>
          </cell>
          <cell r="C387" t="str">
            <v>"AbstractObjectivesParental burnout is a prevalent condition that affects parents' functioning and health. While various protective factors have been examined, little is known about their interplay. In the current study, we examined the joint effect of two protective factors against parental burnout (one externalâ€”social support and one internalâ€”cognitive reappraisal). We were specifically interested in whether the presence of one factor could compensate for the lack of the other.MethodsTo address this question, 1835 participants were drawn from five countries: United States, Poland, Peru, Turkey and Belgium.ResultsResults suggested that both social support and cognitive reappraisal were associated with lower parental burnout. An interaction was also found between the resource factors, such that the presence of cognitive reappraisal compensated for the absence of social support.ConclusionsThese findings point to ways in which parental burnout could be reduced, especially in situations where social support is not easily available."</v>
          </cell>
          <cell r="E387" t="str">
            <v>PSYCHOLOGY, CLINICAL</v>
          </cell>
          <cell r="F387" t="str">
            <v>emotion regulation,exhaustion,loneliness,parenting,resources</v>
          </cell>
          <cell r="H387" t="str">
            <v>Q2</v>
          </cell>
        </row>
        <row r="388">
          <cell r="B388" t="str">
            <v>10.1111/chso.12822</v>
          </cell>
          <cell r="C388" t="str">
            <v>"AbstractThis article explores the processes of creating school shows in primary schools in Turkey and examines how teachers reinforce particular gendered constructions of femininity and masculinity through children's bodies in the making of these performances. Drawing on the insights from the sociology of the body within childhood research, the article is based on an ethnography conducted in a costume shop in Istanbul where teachers rent costumes for the shows, as well as interviews with teachers preparing the shows and observations made during the performances. The research reveals that the shows perpetuate gender norms and stereotypes while reproducing inequalities."</v>
          </cell>
          <cell r="E388" t="str">
            <v>SOCIAL WORK</v>
          </cell>
          <cell r="F388" t="str">
            <v>childhood in Turkey,gender performance,gender-based inequalities,school shows,social construction of the body</v>
          </cell>
          <cell r="H388" t="str">
            <v>Q3</v>
          </cell>
        </row>
        <row r="389">
          <cell r="B389" t="str">
            <v>10.1111/codi.15806</v>
          </cell>
          <cell r="C389" t="str">
            <v>"AbstractAimCohort data suggest that anastomotic leak occurs after 8% of right colectomies causing significant morbidity and mortality. Patient selection, intraâ€operative factors, and technical variation all contribute to risk of leak. The EAGLE study will assess whether implementation of the European Society of Coloproctology (ESCP) Safe Anastomosis Intervention reduces anastomotic leak following right colectomy.MethodsAn international, multiâ€centre, cluster randomised trial will be undertaken with hospitals as clusters. Hospitals will be recruited in a number of distinct phases, with each phase following the same research plan, in which clusters are randomised to one of three, staggered (dogâ€leg) schedules for implementation of the Safe Anastomosis Intervention.ResultsResults from different phases will be metaâ€analysed. The intervention is a threeâ€component behavioural change programme for surgeons, anaesthetists and operating room staff, supported by an online learning environment. All colorectal surgical units around the world will be eligible. Adults undergoing elective or emergency right colectomy or ileocaecal resection, by any approach and for any indication will be included. The primary outcome is 30â€day anastomotic leak rate, defined as clinical or radiologicallyâ€detected leak or intraâ€abdominal or pelvic collection. Assuming hospitals provide data for an average of 10 patients per two month recruitment period, 333 clusters (4440 patients in total) will allow for detection of an absolute risk reduction of anastomotic leak from 8.1% to 5.6% (relative risk reduction 30%). This protocol adheres to Standard Protocol Items: Recommendations for Intervention Trials (SPIRIT).DiscussionThe protocol describes the methods for an evaluation of a hospitalâ€level, educationâ€based quality improvement intervention targeted to reduce the lifeâ€threatening surgical complication of anastomotic leak."</v>
          </cell>
          <cell r="E389" t="str">
            <v>GASTROENTEROLOGY &amp; HEPATOLOGY|SURGERY</v>
          </cell>
          <cell r="F389" t="str">
            <v>anastomotic leak,colorectal surgery,dog-leg cluster randomised,quality improvement study,randomised trial,right hemicolectomy</v>
          </cell>
          <cell r="H389" t="str">
            <v>Q1</v>
          </cell>
        </row>
        <row r="390">
          <cell r="B390" t="str">
            <v>10.1111/ctr.14874</v>
          </cell>
          <cell r="C390" t="str">
            <v>"AbstractBackgroundAlthough there are many studies on the role of vitamin D deficiency (VDD) in hematopoetic stem cell transplantation (HSCT), outcomes have often reported conflicting results because of the heterogeneity of the patients in the studies.MethodsWe investigated the association between VDD prior to HSCT and outcomes after HSCT in a relatively homogenous group of patients with thalassemia major (TM) who received identical treatment for TM before transplantation, and the same conditioning regimen and GVHD prophylaxis during and after transplantation. All patients, including the patients with normal vitamin D3 levels received 400 to 800 IU per day of vitamin D for the first 6 months after HSCT.ResultsPreâ€HSCT VDD increased the frequency of aGVHD after transplantation, particularly in HSCTs performed with PBSC for the stem cell source. Preâ€transplant low vitamin D3 levels had no association with transplant outcomes such as engraftment, viral infections, alloimmunization, chronic GvHD, total days of hospitalization, and success in terms of transfusion independence.ConclusionsLow vitamin D3 levels before HSCT carry a significant risk for aGVHD. All patients with TM should be screened for VDD before HSCT, and every effort should be made to supplement vitamin D before the transplant in VDD patients."</v>
          </cell>
          <cell r="E390" t="str">
            <v>SURGERY|TRANSPLANTATION</v>
          </cell>
          <cell r="F390" t="str">
            <v>acute graft versus host disease,children,hematopoetic stem cell transplantation,thalassemia major,vitamin D</v>
          </cell>
          <cell r="H390" t="str">
            <v>Q2</v>
          </cell>
        </row>
        <row r="391">
          <cell r="B391" t="str">
            <v>10.1111/dth.15340</v>
          </cell>
          <cell r="C391" t="str">
            <v>"Follicular unit excision (FUE), which is a newer hair transplant procedure was thought to be only usable in limited areas at the beginning. However, it is the most preferred technique these days. It is known transection rates have decreased with punch technology (and experience) over the years. We analyzed the data from soâ€so many male patients who underwent hair transplantation by FUE method at our clinic retrospectively to elucidate how the development of punch technology affected the number of total grafts and FU containing multiple hairs. Between the years 2011 and 2020, male hair transplant patients operated with the FUE method at the author's dermatology clinic, was investigated retrospectively. Overall 1415 cases were included in the study. Total graft numbers and 1â€“4 hair FUs were calculated. There was a statistically significant difference in terms of number of total grafts, one hair follicular unit (I FU) three hair follicular unit (III FU) distributions according to operation year and punch type (pâ€‰&lt;â€‰0.05). The serrated punch resulted in a significant increase in the numbers of total grafts and the trumpet punch resulted in a significant increase in the number of 3FU grafts. Our study has shown that hair yield has been increased with new punch technologies. With an increasing hair yield by the aid of evolving punch technology, hair transplantation with the FUE method has become the first choice for hair transplantation preferred by both doctors and patients."</v>
          </cell>
          <cell r="E391" t="str">
            <v>DERMATOLOGY</v>
          </cell>
          <cell r="F391" t="str">
            <v>alopecia,surgery,autologous,hair follicle,transplantation,tissue and organ harvesting,instrumentation,tissue and organ harvesting,methods</v>
          </cell>
          <cell r="H391" t="str">
            <v>Q1</v>
          </cell>
        </row>
        <row r="392">
          <cell r="B392" t="str">
            <v>10.1111/echo.15333</v>
          </cell>
          <cell r="C392" t="str">
            <v>"AbstractIntroductionPregnancy is a process that can cause several physiologic changes to the cardiovascular system such as ventricular hypertrophy and dilation of cardiac chambers. Although there are studies about pregnancyâ€related changes in echocardiographic examination; there is no data about the longâ€term effects of parity on these alterations. Therefore, we evaluated the longâ€term effect of pregnancy on right ventricular (RV) dilation and RV hypertrophy and their relation to the parity number.MethodsThis prospective study included a total of 600 women (200 consecutive women who had no parity, 200 women who had a parity number of 1 to 4 and 200Â women who had a parity number of more than 4). Right chambersâ€™ measurements were compared between the groups.ResultsIn echocardiographic analysis, RV and right atrial dimensions and areas and RV wall thickness were higher in parous women. On the other hand, RV systolic function parameters were significantly lower in parous women. These significant changes showed a gradual increase or decrease by increasing parity number. By multivariate hierarchical logistic regression analysis, the four independent factors that increased the risk of RV dilation were age (OR: 1.16 CI: 1.10â€“1.20), body mass index (OR: 1.05, CI: 1.02â€“1.08), smoking (OR: 1.87, CI: 1.28â€“4.02), and giving a birth (OR: 3.94 CI: 1.82â€“8.81). There was also independent relationship between the number of parity and RV hypertrophy even after adjustment for several confounders.ConclusionPregnancyâ€related physiological changes mostly resolve after delivery. This study about longâ€term effects of pregnancy on RV has demonstrated that there is a significant relation between the number of parity and either RV dilation or RV hypertrophy. Each parity had also additive effect on these changes."</v>
          </cell>
          <cell r="E392" t="str">
            <v>CARDIAC &amp; CARDIOVASCULAR SYSTEMS</v>
          </cell>
          <cell r="F392" t="str">
            <v>pregnancy,parity,right ventricular function</v>
          </cell>
          <cell r="H392" t="str">
            <v>Q4</v>
          </cell>
        </row>
        <row r="393">
          <cell r="B393" t="str">
            <v>10.1111/echo.15494</v>
          </cell>
          <cell r="C393" t="str">
            <v>"AbstractUntreated severe mitral regurgitation (MR) is associated with poor outcomes due to the adverse consequences of longâ€standing volume overload on the left ventricle and left atrium, which leads to pulmonary hypertension and rightâ€sided heart failure. Early intervention results in favorable longâ€term outcomes making appropriate timing of intervention very critical. We present a 53â€yearâ€old male with severe symptomatic MR and right sidedâ€heart failure which progressed to cardiac cirrhosis necessitating enrollment to the liver transplant list. Transcatheter mitral valve repair (TMVR) using MitraClip implantation resulted in impressive clinical improvement and resolution of cirrhosis. Eventually, the patient was taken off the transplant list. Treatment of severe MR may lead to improvements in congestive hepatopathy."</v>
          </cell>
          <cell r="E393" t="str">
            <v>CARDIAC &amp; CARDIOVASCULAR SYSTEMS</v>
          </cell>
          <cell r="F393" t="str">
            <v>heart failure,MitraClip,liver transplant,mitral regurgitation</v>
          </cell>
          <cell r="H393" t="str">
            <v>Q4</v>
          </cell>
        </row>
        <row r="394">
          <cell r="B394" t="str">
            <v>10.1111/eje.12749</v>
          </cell>
          <cell r="C394" t="str">
            <v>"AbstractAimThe aim of the study was to investigate the influential factors for choosing dentistry, their thoughts about the profession, their expectations for the future and their thoughts about the specialisation of dental students from all grades in the School of Dentistry, Marmara University.Materials and MethodsSocioâ€demographic information, influential factors the choice of profession, thoughts and expectations about dentistry, and thoughts about the specialisation were evaluated in the questionnaire that included different question types in four separate sections. Chiâ€square test was used to assess the relationship between categorical variables, and multiple linear regression was performed to examine the combined effects of variables that influence the always dream of becoming a dentist.Results462 of the 471 participants from all grades who agreed to participate in the study completed the questionnaire with a response rate of 98.1%. It was seen that the students' clinical experience made differences in almost half of their motivational sources for choosing dentistry and their views on future opinions and expectations (pÂ &lt;Â .05). In addition to clinical experience, gender also made a statistically significant differences in almost all answers in the students' opinions about specialisation (pÂ &lt;Â .05).ConclusionFrom the results of the study, the majority of Turkish dental students were selfâ€motivated compared to familial and environmental factors for choosing dentistry as a career. The career motivations of them seemed to be associated with the socioeconomic aspects of dentistry, whereas the perceptions regarding the future of dentistry seemed to be associated with the need for postgraduate education."</v>
          </cell>
          <cell r="E394" t="str">
            <v>DENTISTRY, ORAL SURGERY &amp; MEDICINE|EDUCATION, SCIENTIFIC DISCIPLINES</v>
          </cell>
          <cell r="F394" t="str">
            <v>career choice,clinical experience,dental specialties,dental students,paediatric dentistry</v>
          </cell>
          <cell r="H394" t="str">
            <v>Q3</v>
          </cell>
        </row>
        <row r="395">
          <cell r="B395" t="str">
            <v>10.1111/exsy.12769</v>
          </cell>
          <cell r="C395" t="str">
            <v>"AbstractThe multiple attribute decisionâ€making models are empowered with the support of fuzzy sets such as intuitionistic, qâ€rung orthopair, Pythagorean, and picture fuzzy sets, and also neutrosophic sets, etc. These concepts generate varying representation opportunities for the decisionâ€maker's preferences and expertise. Pythagorean and Fermatean fuzzy sets are special cases of qâ€rung orthopair fuzzy set when qÂ =Â 2 and qÂ =Â 3, respectively. From a geometric perspective, the latter provides a broader representation domain than the former does. In this study, the emerging concept of Fermatean fuzzy set is studied in detail and three wellâ€known multiâ€attribute evaluation methods, namely SAW, ARAS, and VIKOR are extended under Fermatean fuzzy environment. In this manner, the decisionâ€makers will have more freedom in specifying their preferences, thoughts, and expertise, and the abovementioned decision approaches will be able to handle this new type of data. The applicability of the propositions is shown in determining the best Covidâ€19 testing laboratory which is an important topic of the ongoing global health crisis. To validate the proposed methods, a benchmark analysis covering the results of the existing Fermatean fuzzy setâ€based decision methods, namely TOPSIS, WPM, and Yager aggregation operators is presented."</v>
          </cell>
          <cell r="E395" t="str">
            <v>COMPUTER SCIENCE, ARTIFICIAL INTELLIGENCE|COMPUTER SCIENCE, THEORY &amp; METHODS</v>
          </cell>
          <cell r="F395" t="str">
            <v>ARAS method,Fermatean fuzzy sets,multi-attribute evaluation,SAW method,VIKOR method</v>
          </cell>
          <cell r="H395" t="str">
            <v>Q2</v>
          </cell>
        </row>
        <row r="396">
          <cell r="B396" t="str">
            <v>10.1111/exsy.13104</v>
          </cell>
          <cell r="C396" t="str">
            <v>"The literature of multiple attribute decision making (MADM) is fruitful since there are various and successful applications of different fuzzy set extensions such as intuitionistic, Pythagorean and qâ€Rung orthopair fuzzy sets (IFS, PFS and qâ€ROFS). Besides their powerful aspects, some definitional limitations are known. In order to eradicate these boundaries regarding the definitions of membership and nonâ€membership degrees, linear Diophantine fuzzy set (LDFS) concept has been recently emerged. By considering two parameters, LDFS extends the representation area of the previous fuzzy set definitions and provides more extensive human judgement coverage field. In this study, the first distance and entropy measures in the literature have been developed for LDFSs. Their axiomatic definitions are given, and the proofs are shown. Also, thanks to our extensive literature review, we became aware that there is no MADM extension dedicatedly proposed for LDFS. So, the first MADM method extension for LDFS environment has also been developed in this study. A very wellâ€known MADM approach, TOPSIS, has been extended into LDFS environment for the first time in the literature. The applicability is shown in a healthcare management decision problem and the validity is checked and approved by comparing the alternative rankings LDFâ€TOPSIS and the aggregation operators that were obtained from the literature produced."</v>
          </cell>
          <cell r="E396" t="str">
            <v>COMPUTER SCIENCE, ARTIFICIAL INTELLIGENCE|COMPUTER SCIENCE, THEORY &amp; METHODS</v>
          </cell>
          <cell r="F396" t="str">
            <v>distance measure,entropy measure,linear Diophantine fuzzy sets,TOPSIS</v>
          </cell>
          <cell r="H396" t="str">
            <v>Q2</v>
          </cell>
        </row>
        <row r="397">
          <cell r="B397" t="str">
            <v>10.1111/exsy.13387</v>
          </cell>
          <cell r="C397" t="str">
            <v>"AbstractRecently, the global food supply chain has become increasingly complex, and its scalability has grown. From farm to fork, the performance of foodâ€producing systems is influenced by significant changes in the environment, population and economy. These changes may cause an increase in food fraud and safety hazards and hence, harm human health. Adopting artificial intelligence (AI) technology in the food supply chain is one strategy to reduce these hazards. Although the use of AI has been rising in numerous industries, such as precision nutrition, selfâ€driving cars, precision agriculture, precision medicine and food safety, much of what AI systems do is a black box due to its poor explainability. This study covers numerous use cases of food fraud risk prediction using explainable artificial intelligence (XAI) techniques, such as LIME, SHAP and WIT. We aimed to interpret the predictions of a machine learning model with the aid of these technologies. The case study was performed on a food fraud dataset using adulteration/fraud notifications retrieved from the Rapid Alert System for Food and Feed system and economically motivated adulteration database. A deep learning model was built based on this dataset and XAI tools have been investigated on the proposed deep learning model. Both features and shortcomings of the current XAI tools in the food fraud area have been presented."</v>
          </cell>
          <cell r="E397" t="str">
            <v>COMPUTER SCIENCE, ARTIFICIAL INTELLIGENCE|COMPUTER SCIENCE, THEORY &amp; METHODS</v>
          </cell>
          <cell r="F397" t="str">
            <v>deep learning,explainable artificial intelligence,food safety,interpretable machine learning,machine learning</v>
          </cell>
          <cell r="H397" t="str">
            <v>Q2</v>
          </cell>
        </row>
        <row r="398">
          <cell r="B398" t="str">
            <v>10.1111/fcp.12763</v>
          </cell>
          <cell r="C398" t="str">
            <v>"Abstractlâ€Arginine, a nitric oxide (NO) donor; sodium hydrosulfide (NaHS), a hydrogen sulfide (H2S) donor; and tricarbonyldichlororuthenium(II) dimer (CORMâ€2), carbon monoxide (CO) donor, are characterized as bioactive gas mediators that have been researched for their roles in human physiology. This study aimed to compare the effects of these mediators on pain, anxiety, and depression. Ninetyâ€one adult male Spragueâ€“Dawley rats were used for the experiments. Locomotor activity, elevated plus maze, forced swimming, tail clip, hot plate, and writhing tests were used for the assessments after the administration of lâ€arginine (30â€“100â€‰mg/kg), a NO donor; NaHS (5â€“10â€‰mg/kg), a H2S donor; and CORMâ€2 (5â€“10â€‰mg/kg), CO donor. Intraperitoneal H2S, NO, malondialdehyde (MDA), glutathione (GSH), and tumor necrosis factorâ€Î± (TNFâ€Î±) levels were determined by enzymeâ€linked immunosorbent assay (ELISA). No statistical significance was found in the locomotor activity. NO and CO significantly extended latency at high doses in tail clip test. No significant activity was observed at any dose of all three substances on a hot plate. Both doses of CO and high doses of NO and H2S showed an antinociceptive effect in the writhing test. While the opioidergic system plays a role in the spinal antinociceptive effect of lâ€arginine, both serotonergic and opioidergic systems play a role in its peripheral antinociceptive effect. The serotonergic system plays a role in the peripheral antinociceptive effect of CORMâ€2. The time spent in open arm increased significantly in all groups an elevated plus maze. High doses of all three substances significantly increased the duration of immobility in the forced swimming test. No statistical significance was observed in MDA, GSH, and TNFâ€Î± levels. High doses of NO and CO showed a spinal antinociceptive effect. Both doses of CO and high doses of NO and H2S showed a peripheral antinociceptive effect. All three agents showed anxiolytic and depressionâ€like effects."</v>
          </cell>
          <cell r="E398" t="str">
            <v>PHARMACOLOGY &amp; PHARMACY</v>
          </cell>
          <cell r="F398" t="str">
            <v>anxiety,depression,hydrogen sulfide,nitric oxide,pain,rats</v>
          </cell>
          <cell r="H398" t="str">
            <v>Q3</v>
          </cell>
        </row>
        <row r="399">
          <cell r="B399" t="str">
            <v>10.1111/fcp.12970</v>
          </cell>
          <cell r="C399" t="str">
            <v>"AbstractBackgroundChemotherapyâ€induced peripheral neuropathy (CIPN) is still an unresolved problem in cisplatin (CIS) use.ObjectivesThis study investigates possible antiâ€neuropathic effect of chlorogenic acid (CGA) against CISâ€induced CIPN in rats while also investigating the contribution of nitric oxide (NO) to this phenomenon.MethodsInitially, CGA (250â€“1000â€‰Î¼M) was tested by MTT assay on primary DRG neurons. Subsequently, CIPN was induced in Spragueâ€“Dawley rats by 3â€‰mg/kg intraperitoneal injections of CIS once/week for 5Â weeks. CGA (100â€‰mg/kg) was coâ€administered with CIS, both alone and in combination with lâ€arginine (LARG) or lâ€nitroâ€arginineâ€methylâ€ester (LNAME), to elucidate the contribution of nitrergic system to antiâ€neuropathic effects. Mechanical allodynia, thermal hyperalgesia, and cold plate tests were performed to test CIPN. Rotarod, footprint analysis, and activitymeter were used to evaluate motor coordination and performance. Tumor necrosis factor alpha (TNFâ€Î±) was measured as a marker of inflammation. Histological evaluations of DRG and sciatic nerves (SNs) were performed utilizing toluidine blue staining. Twoâ€way analysis of variance and Kruskalâ€“Wallis following Tukey's test were used as statistical analysis.ResultsHigher concentration of CGA (1000â€‰Î¼M) exhibited protective effect against in vitro neurotoxicity. Neither LARG nor LNAME exerted significant change in this effect. Coâ€administration of CGA alleviated histological abnormalities and neuropathic effects induced by CIS. Ameliorative effect of CGA was not changed in mechanical allodynia but attenuated in cold allodynia, and motor activity/coordination tests by LARG and LNAME. Neuropathic effects of CIS remained unchanged with LARG and LNAME in behavioral experiments.ConclusionThe study identified CGA as candidate agent in mitigating CIPN. NO seems to play a modulatory role in this effect."</v>
          </cell>
          <cell r="E399" t="str">
            <v>PHARMACOLOGY &amp; PHARMACY</v>
          </cell>
          <cell r="F399" t="str">
            <v>chemotherapy-induced peripheral neuropathy,chlorogenic acid,&lt;sc&gt;l&lt;/sc&gt;-arginine,&lt;sc&gt;l&lt;/sc&gt;-nitro-arginine-methyl-ester,nitric oxide</v>
          </cell>
          <cell r="H399" t="str">
            <v>Q3</v>
          </cell>
        </row>
        <row r="400">
          <cell r="B400" t="str">
            <v>10.1111/iej.13826</v>
          </cell>
          <cell r="C400" t="str">
            <v>"AbstractBackgroundPulpâ€“dentine complex regeneration via tissue engineering is a developing treatment modality that aims to replace necrotic pulps with newly formed healthy tissue inside the root canal. Designing and fabricating an appropriate scaffold is a crucial step in such a treatment.ObjectivesThe present study aimed to review recent advances in the design and fabrication of scaffolds for de novo regeneration of pulpâ€“dentine complexes via tissue engineering approaches.MethodsA literature search was conducted using PubMed, Europe PMC, Scopus and Google Scholar databases. To highlight bioengineering techniques for de novo regeneration of pulpâ€“dentine complexes, both in vitro and in vivo studies were included, and clinical studies were excluded.ResultsIn the present review, four main classes of scaffolds used to engineer pulpâ€“dentine complexes, including bioceramicâ€based scaffolds, synthetic polymerâ€based scaffolds, natural polymerâ€based scaffolds and composite scaffolds, are covered. Additionally, recent advances in the design, fabrication and application of such scaffolds are analysed along with their advantages and limitations. Finally, the importance of vascular network establishment in the success of pulpâ€“dentine complex regeneration and strategies used to create scaffolds to address this challenge are discussed.DiscussionIn the tissue engineering platform, scaffolds provide structural support for cells to adhere and proliferate and also regulate cell differentiation and metabolism. Up to now, considerable progress has been achieved in the field of pulpâ€“dentine complex tissue engineering, and a spectrum of scaffolds ranging from bioceramicâ€based to naturally derived scaffolds has been fabricated. However, in designing a suitable scaffold for engineering pulpâ€“dentine complexes, a variety of characteristic parameters related to biological, structural, physical and chemical features should be considered.ConclusionThe variety of biomaterials and fabrication techniques provides a great opportunity to address some of the requirements for scaffolds in regenerative endodontics. However, more studies are required to develop an ideal scaffold for use in a clinical setting."</v>
          </cell>
          <cell r="E400" t="str">
            <v>DENTISTRY, ORAL SURGERY &amp; MEDICINE</v>
          </cell>
          <cell r="F400" t="str">
            <v>Pulp-dentine complex,regenerative endodontics,scaffold,signalling molecule,stem cell,tissue engineering</v>
          </cell>
          <cell r="H400" t="str">
            <v>Q1</v>
          </cell>
        </row>
        <row r="401">
          <cell r="B401" t="str">
            <v>10.1111/iej.13882</v>
          </cell>
          <cell r="C401" t="str">
            <v>"AbstractAimThe study aimed to develop a bicomponent bioactive hydrogel formed in situ and enriched with an extract of plateletâ€rich fibrin (PRFe) and to assess its potential for use in pulpâ€dentine complex tissue engineering via cell homing.MethodologyA bicomponent hydrogel based on photoâ€activated naturally derived polymers, methacrylated chitosan (ChitMA) and methacrylated collagen (ColMA), plus PRFe was fabricated. The optimized formulation of PRFeâ€loaded bicomponent hydrogel was determined by analysing the mechanical strength, swelling ratio and cell viability simultaneously. The physical, mechanical, rheological and morphological properties of the optimal hydrogel with and without PRFe were determined. Additionally, MTT, phalloidin/DAPI and live/dead assays were carried out to compare the viability, cytoskeletal morphology and migration ability of stem cells from the apical papilla (SCAP) within the developed hydrogels with and without PRFe, respectively. To further investigate the effect of PRFe on the differentiation of encapsulated SCAP, alizarin red S staining, RTâ€PCR analysis and immunohistochemical detection were performed. Statistical significance was established at pâ€‰&lt;â€‰â€‰.05.ResultsThe optimized formulation of PRFeâ€loaded bicomponent hydrogel can be rapidly photocrosslinked using available dental light curing units. Compared to bicomponent hydrogels without PRFe, the PRFeâ€loaded hydrogel exhibited greater viscoelasticity and higher cytocompatibility to SCAP. Moreover, it promoted cell proliferation and migration in vitro. It also supported the odontogenic differentiation of SCAP as evidenced by its promotion of biomineralization and upregulating the gene expression for ALP, COL I, DSPP and DMP1 as well as facilitated angiogenesis by enhancing VEGFA gene expression.ConclusionsThe new PRFeâ€loaded ChitMA/ColMA hydrogel developed within this study fulfils the criteria of injectability, cytocompatibility, chemoattractivity and bioactivity to promote odontogenic differentiation, which are fundamental requirements for scaffolds used in pulpâ€dentine complex regeneration via cellâ€homing approaches."</v>
          </cell>
          <cell r="E401" t="str">
            <v>DENTISTRY, ORAL SURGERY &amp; MEDICINE</v>
          </cell>
          <cell r="F401" t="str">
            <v>injectable hydrogel,methacrylated chitosan,methacrylated collagen,platelet-rich fibrin,visible light crosslinking</v>
          </cell>
          <cell r="H401" t="str">
            <v>Q1</v>
          </cell>
        </row>
        <row r="402">
          <cell r="B402" t="str">
            <v>10.1111/ijcp.14752</v>
          </cell>
          <cell r="C402" t="str">
            <v>"In patients with COVIDâ€19, no validated efficient treatment has been reported. Herein, we examine the effect of treatment with teicoplanin in hospitalised patients with COVIDâ€19."</v>
          </cell>
          <cell r="E402" t="str">
            <v>MEDICINE, GENERAL &amp; INTERNAL</v>
          </cell>
          <cell r="F402" t="str">
            <v>clinical outcome,COVID-19,mortality rate,teicoplanin</v>
          </cell>
          <cell r="H402" t="str">
            <v>Q2</v>
          </cell>
        </row>
        <row r="403">
          <cell r="B403" t="str">
            <v>10.1111/ijcp.14843</v>
          </cell>
          <cell r="C403" t="str">
            <v>"COVIDâ€19 may yield a variety of clinical pictures, differing from pneumonitis to Acute Respiratory Distress Syndrome along with vascular damage in the lung tissue, named endotheliitis. To date, no specific treatment strategy was approved for the prevention or treatment of COVIDâ€19 in terms of endotheliitisâ€related comorbidities. Here, we presented our treatment strategies for 11 190 COVIDâ€19 patients depending on categorisation by the severity of both the respiratory and vascular distress and presented the manifestations of endotheliitis in skin, lung and brain tissues according to the different phases of COVIDâ€19."</v>
          </cell>
          <cell r="E403" t="str">
            <v>MEDICINE, GENERAL &amp; INTERNAL</v>
          </cell>
          <cell r="H403" t="str">
            <v>Q2</v>
          </cell>
        </row>
        <row r="404">
          <cell r="B404" t="str">
            <v>10.1111/ijn.13187</v>
          </cell>
          <cell r="C404" t="str">
            <v>"AbstractAimThe aim of this study is to explore the extent of missed nursing care in Turkey and identify its predictors.DesignThis was a descriptive, crossâ€sectional, multicentre study.MethodsA total of 477 nurses working in seven public hospitals participated in this study from March to July 2019. The survey included two components: a personal and professional characteristics data form and the MISSCARE survey.ResultsThe study revealed that emotional support, patient bathing and ambulation were the most frequently missed nursing care activities. An inadequate number of assistive personnel and staff, along with an unexpected increase in patient volume, were identified as the primary reasons for missed nursing care. Of the 21 missed nursing care activities, nine predictive models showed statistical significance (pâ€‰&lt;â€‰0.05). Factors such as the type of unit, years of work experience, working hours, number of patients cared for in a shift and intention to leave the unit were found to be significant predictors of seven missed nursing care activities (pâ€‰&lt;â€‰0.05).ConclusionThis study found that numerous variables influence each care activity, which suggests the need to devise more targeted and specific strategies to minimize missed nursing care. Thorough investigation into the impact of these strategies on each care activity is essential."</v>
          </cell>
          <cell r="E404" t="str">
            <v>NURSING|NURSING</v>
          </cell>
          <cell r="F404" t="str">
            <v>caring,MISSCARE survey,missed nursing care,nursing,Turkey</v>
          </cell>
          <cell r="H404" t="str">
            <v>Q2</v>
          </cell>
        </row>
        <row r="405">
          <cell r="B405" t="str">
            <v>10.1111/imig.12990</v>
          </cell>
          <cell r="C405" t="str">
            <v>"AbstractThis work aims to examine a possible change of feminist civil society pertaining to inclusivity with a particular interest in violence. It evaluates stateâ€civil society relations, coping mechanisms with domestic violence and solidarity patterns with female refugees. It proposes a novel theoretical contribution, â€˜feminization of refugeeâ€™ suggesting a positive shift in the empowerment of refugee women through bidirectional solidarity, intersectionality and resistance which consequently diversifies and invigorates the civil society itself. The findings suggest that the manifestation of a resistant civil society in Turkey inclined to withhold a strong feminist stance with a rightsâ€based approach. The findings further manifest a growing need towards shelters in the pandemic experience which recalls capacity building requirements of civil society for refugee women against violence."</v>
          </cell>
          <cell r="E405" t="str">
            <v>DEMOGRAPHY</v>
          </cell>
          <cell r="H405" t="str">
            <v>Q3</v>
          </cell>
        </row>
        <row r="406">
          <cell r="B406" t="str">
            <v>10.1111/iwj.13757</v>
          </cell>
          <cell r="C406" t="str">
            <v>"AbstractThe most common pressure ulcer associated with medical devices in the ICU is pressure injury associated with the endotracheal tube. We aimed to scrutinise the effects of two different techniques of endotracheal tube securement used in the ICU on the occurrence of pressure ulcers. This randomised clinical trial was conducted in 60 patients, 30 of which were intervention and 30 experimental, admittedin the ICU of a training and research hospitaldata were collected using the descriptive and clinical characteristics from the Braden Scale for predicting Pressure Sore Risk, the Pressure Ulcer Scale for healing, The International Staging System for Pressure Injuries and the Eilers Oral Assessment Guide. Based on the Braden Scale scores of the patients, we found that 98.3% of the cases were in the highâ€risk group before and after the intervention. We also found that the recovery was higher among patients in whom the bandage fixation method was applied compared to those in whom the fixation was done with an endotracheal tube holder."</v>
          </cell>
          <cell r="E406" t="str">
            <v>DERMATOLOGY|SURGERY</v>
          </cell>
          <cell r="F406" t="str">
            <v>endotracheal tube holder,intensive care,nursing care,pressure ulcer</v>
          </cell>
          <cell r="H406" t="str">
            <v>Q2</v>
          </cell>
        </row>
        <row r="407">
          <cell r="B407" t="str">
            <v>10.1111/jade.12401</v>
          </cell>
          <cell r="C407" t="str">
            <v>"AbstractDesign is a complicated task that requires the simultaneous operation of different cognitive processes. Many researchers claim that the design process is something that can be supported with various implementations. Design education helps students improve their design skills by utilising different types of exercises. This article presents a case study wherein thirdâ€year undergraduate students at an architecture schoolâ€™s design studio were the subjects. The normal workflow of the studio was reinforced with checkpoints where the students were asked to complete exercises based on sketching, writing and visual analogy. The aim of the case study was to stimulate different cognitive processes in the studentsâ€™ brains through structured exercises to support their design process. This study questions the interrelation between each cognitive process and their relationship with the overall design process, plus whether verbal and written tasks as well as sketching, as cognitive exercises, contribute to the design process. The case studyâ€™s findings indicate that students derived significant support from the exercises, and that there is correlation between the studentsâ€™ participation level in the exercises and their success in the design task. The case study also shows the interrelation between the writing and sketching exercises and their effects on the studentsâ€™ success in the design process. This article suggests that design educators would benefit from structuring methods efficiently in order to achieve better results when training neophyte designers."</v>
          </cell>
          <cell r="E407" t="str">
            <v>ART|EDUCATION &amp; EDUCATIONAL RESEARCH</v>
          </cell>
          <cell r="F407" t="str">
            <v>design skills,novice designers,design education,architectural design,student designers,architectural education</v>
          </cell>
          <cell r="H407" t="str">
            <v>Q4</v>
          </cell>
        </row>
        <row r="408">
          <cell r="B408" t="str">
            <v>10.1111/jce.14852</v>
          </cell>
          <cell r="C408" t="str">
            <v>"AbstractAimsMahaimâ€type accessory pathways (MAPs) are generally rightâ€sided due to the embryological differentiation, but leftâ€sided localization is also possible. This study aims to compare the clinical and electrophysiological characteristics of rightâ€ and leftâ€sided MAPs.MethodsOf 251 patients diagnosed with AP by electrophysiological study between November 2015 and February 2020, 12 patients with MAP were included (right sided nâ€‰=â€‰8, left sided nâ€‰=â€‰4). MAP was diagnosed if; (1) no retrograde conduction; (2) anterograde decremental conduction; (3) adenosine sensitivity; and (4) Mahaim potential at successful ablation site were present.ResultsTen of twelve MAPs were clustered on the lateral walls of the mitral (nâ€‰=â€‰3, 75%) and tricuspid annuli (nâ€‰=â€‰7, 87.5%). Rightâ€sided MAPs were mostly long pathways extending toward the conduction system whereas leftâ€sided MAPs were short extending toward the neighboring myocardium. For rightâ€ and leftâ€sided APs, the median QRS times were 129 and 156â€‰ms (pâ€‰=â€‰.042), the median VAblâ€RVApex intervals were âˆ’12 and 64â€‰ms (pâ€‰=â€‰.007), the median QRSâ€V(His) intervals were 16 and 86â€‰ms (pâ€‰=â€‰.120), and the median VAblâ€QRS interval was âˆ’8 and 12â€‰ms (pâ€‰=â€‰.017), respectively. Coexistence of dual atrioventricular node physiology was observed only in rightâ€sided APs (nâ€‰=â€‰3, 37.5%).ConclusionMAPs are more typically located on the right but may rarely be seen on the left. Catheter ablation was associated with high success without complications."</v>
          </cell>
          <cell r="E408" t="str">
            <v>CARDIAC &amp; CARDIOVASCULAR SYSTEMS</v>
          </cell>
          <cell r="F408" t="str">
            <v>accessory pathway,atriofascicular,atrioventricular,decremental,left-sided,Mahaim</v>
          </cell>
          <cell r="H408" t="str">
            <v>Q3</v>
          </cell>
        </row>
        <row r="409">
          <cell r="B409" t="str">
            <v>10.1111/jcmm.17883</v>
          </cell>
          <cell r="C409" t="str">
            <v>"AbstractAberrant expression of MEG3 has been shown in various cancers. The purpose of this study is to evaluate the effect of MEG3 on glioma cells and the use of potential chemotherapeutics in glioma by modulating MEG3 expression. Cell viability, migration and chemosensitivity were assayed. Cell death was evaluated in MEG3 overexpressing and MEG3 suppressed cells. MEG3 expression was compared in patientâ€derived glioma cells concerning IDH1 mutation and WHO grades. Silencing of MEG3 inhibited cell proliferation and reduced cell migration while overexpression of MEG3 promoted proliferation in glioma cells. MEG3 inhibition improved the chemosensitivity of glioma cells to 5â€fluorouracil (5FU) but not to navitoclax. On the other hand, there is no significant effect of MEG3 expression on temozolamide (TMZ) treatment which is a standard chemotherapeutic agent in glioma. Suppression of the MEG3 gene in patientâ€derived oligodendroglioma cells also showed the same effect whereas glioblastoma cell proliferation and chemosensitivity were not affected by MEG3 inhibition. Further, as a possible cell death mechanism of action apoptosis was investigated. Although MEG3 is a widely known tumour suppressor gene and its loss is associated with several cancer types, here we reported that MEG3 inhibition can be used for improving the efficiency of known chemotherapeutic drug sensitivity. We propose that the level of MEG3 should be evaluated in the treatment of different glioma subtypes that are resistant to effective drugs to increase the potential effective drug applications."</v>
          </cell>
          <cell r="E409" t="str">
            <v>CELL BIOLOGY|MEDICINE, RESEARCH &amp; EXPERIMENTAL</v>
          </cell>
          <cell r="F409" t="str">
            <v>cell migration,cell proliferation,drug sensitivity,glioma,MEG3</v>
          </cell>
          <cell r="H409" t="str">
            <v>Q2</v>
          </cell>
        </row>
        <row r="410">
          <cell r="B410" t="str">
            <v>10.1111/jcms.13534</v>
          </cell>
          <cell r="C410" t="str">
            <v>"AbstractStarting from the â€˜gender problemâ€™ in European studies, we scrutinize the gendered knowledge production patterns in a least likely case to be gendered, EUâ€“Turkey studies, due to the overrepresentation of women in the field and its feminine image. We utilize feminist standpoint theory and apply research synthesis and citation analysis techniques to two original datasets comprising 300 articles in 26 Social Science Citation Index (SSCI) journals, published from 1996 to 2020 and involving 8494 citations. Our findings reveal that maleâ€dominated knowledge marks even EUâ€“Turkey studies with men outnumbering women in authorships and an extremely limited number of articles focusing on gender, whilst ampler disparities transpire in first authorships and citations. Whilst women have progressively disrupted maleâ€dominated knowledge by surpassing male authorship numbers since 2014, engaging in greater theoretical sophistication and having a greater inclination to cite women, limited incorporation of women's standpoint hinders the field's potential to address gender inequalities and promote genderâ€sensitive policies and development."</v>
          </cell>
          <cell r="E410" t="str">
            <v>ECONOMICS|INTERNATIONAL RELATIONS|POLITICAL SCIENCE</v>
          </cell>
          <cell r="F410" t="str">
            <v>citation analysis,EU-Turkey studies,feminist standpoint theory,gender equality,research synthesis</v>
          </cell>
          <cell r="H410" t="str">
            <v>Q2</v>
          </cell>
        </row>
        <row r="411">
          <cell r="B411" t="str">
            <v>10.1111/jerd.12945</v>
          </cell>
          <cell r="C411" t="str">
            <v>"AbstractPurposeThis pilot study was part of a larger study planned for the future which aimed to compare the clinical success of two different resin cements used in the cementation of CAD/CAM singleâ€retainer monolithic zirconia ceramic resinâ€bonded fixed dentures (RBFPDs).MethodsTwentyâ€four RBFPDs were fabricated with monolithic zirconia (Katanaâ„¢ Zirconia HT, Kuraray Noritake Dental Inc, Tokyo, Japan). Panavia F2.0 (PF2.0; nÂ =â€‰12) and Panavia V5 (PV5; nÂ =â€‰12) were used for cementation. The survival period was defined as the time when the restoration was placed in the mouth and lasted until an irreparable damage occurred. The repairable failures were identified as relative and irreparable failures were identified as absolute failure. The survival rate of the RBFPDs was determined by the Kaplanâ€“Meier estimator. Statistical significance was set at pÂ &lt;â€‰0.05.ResultsThe mean observation times of the PF2.0 group and the PV5 group were 40.45â€‰Â±â€‰6.15â€‰months and 40.18â€‰Â±â€‰6.41â€‰months, respectively. Four failures occurred in the PF2.0 group. No failure was observed in the PV5 group. The curves of survival rate (PF2.0Â =Â 80%, PV5Â =Â 100%) showed no statistically significant difference (pÂ =â€‰0.031), although success rate (PF2.0Â =Â 66.7%, PV5Â =Â 100%) showed statistically significant difference (pÂ =â€‰0.317).ConclusionUp to 40â€‰months mean followâ€up period, performance of RBFPDs bonded with PV5 was better than with PF2.0.Clinical SignificanceFor clinicians, it is a matter of hesitation to apply singleâ€retainer RBFPDs. This study contains results of 40â€‰months (minimum 32, maximum 50.47â€‰months) clinical followâ€ups of singleâ€retainer RBFPDs. These results will enlighten clinicians about the clinical success of the resin cement type for singleâ€retainer monolithic zirconia ceramic RBFPDs."</v>
          </cell>
          <cell r="E411" t="str">
            <v>DENTISTRY, ORAL SURGERY &amp; MEDICINE</v>
          </cell>
          <cell r="F411" t="str">
            <v>CAD,CAM,ceramics,dental materials,digital dentistry,prosthodontics</v>
          </cell>
          <cell r="H411" t="str">
            <v>Q2</v>
          </cell>
        </row>
        <row r="412">
          <cell r="B412" t="str">
            <v>10.1111/jocd.14691</v>
          </cell>
          <cell r="C412" t="str">
            <v>"AbstractBackgroundUpdates of treatment methods of stable vitiligo are needed to give better outcomes with a shorter duration of treatment.ObjectiveTo test the effect of transdermal 5â€fluorouracil (5â€FU) delivery using fractional CO2(FrCO2) laser versus intralesional 5â€FU injection, with narrowâ€band type ultraviolet B (UVB) (NBâ€UVB) therapy after both, in the treatment of stable vitiligo.Patients and methodsThe present study comprised 40 patients with nearly symmetrical stable vitiligo lesions. The left side was treated with FrCO2Â laser followed by topical 5â€FU (FrCO2Â +Â 5â€FU), while the right side was treated with 5â€FU intradermal injection. Both procedures were done at 2â€week intervals for 3Â sessions followed by 24Â sessions of narrowâ€band UVB for both sides.ResultsRepigmentation was demonstrated on the left side of 90% of patients and the right side of 85% of patients. As much as &gt;50% improvement was demonstrated on the left side of 50% of patients, and the right side of 55% of patients. Intralesional 5â€FU showed a statistically significant difference in repigmentation compared to FrCO2Â +Â 5â€FU.ConclusionBoth 5â€FU injection and FrCO2Â +Â 5â€FU were effective therapeutic modalities for vitiligo. Patients were more compliant with FrCO2Â +Â 5â€FU."</v>
          </cell>
          <cell r="E412" t="str">
            <v>DERMATOLOGY</v>
          </cell>
          <cell r="F412" t="str">
            <v>5-Fluorouracil,fractional carbon dioxide laser,histopathology,HMB-45,vitiligo</v>
          </cell>
          <cell r="H412" t="str">
            <v>Q3</v>
          </cell>
        </row>
        <row r="413">
          <cell r="B413" t="str">
            <v>10.1111/jocs.16724</v>
          </cell>
          <cell r="C413" t="str">
            <v>"â€œ Comparison between surgery and fibrinolytic therapy in prosthetic valve thrombosis: A systematic review and meta â€ analysis. â€ 1 for their study comparing the efficacy and safety of surgery and fibrinolytic therapy (FT) in prosthetic valve thrombosis (PVT). We would like to emphasize some points in light of the current evidence. meta â€ analysis â€ dose, slow infusion of tissue plasminogen several trials safety and efficacy of FT regimens low â€ dose and slow infusion of t PA. 2 â€“ 5 In TROIA trial, a low â€ dose slow infusion h) t and a safer regimen in the management of PVT as compared with high â€ dose and fast â€ infusion regimens. 2 Sadeghipour et al. 5 regimen, safety profile, reference strategy treatment PVT. dose FT mortality and in NYHA class I â€“ IV patients obstructive PVT FT in patients obstructive PVT"</v>
          </cell>
          <cell r="E413" t="str">
            <v>CARDIAC &amp; CARDIOVASCULAR SYSTEMS|SURGERY</v>
          </cell>
          <cell r="H413" t="str">
            <v>Q3</v>
          </cell>
        </row>
        <row r="414">
          <cell r="B414" t="str">
            <v>10.1111/jog.15510</v>
          </cell>
          <cell r="C414" t="str">
            <v>"AbstractAimTo evaluate the effects of COVIDâ€19 disease and the trimester in which the disease is diagnosed on obstetric and neonatal outcomes.MethodsThis retrospective cohort study was conducted with 358 patients who had or had not been diagnosed with COVIDâ€19 during their pregnancy, had a miscarriage or had given birth.ResultsCOVIDâ€19 disease during pregnancy was associated with higher maternal hypertensive disease, preterm birth, low birth weight, low firstâ€ and fifthâ€minute Apgar scores, and need for neonatal intensive care unit. The incidence of preterm birth, low birth weight, low firstâ€ and fifthâ€minute Apgar scores, and need for neonatal intensive care unit in those diagnosed with COVIDâ€19 in the second trimester was significantly higher than those diagnosed with COVIDâ€19 in other trimesters. The frequency of cesarean section was observed most in those diagnosed with COVIDâ€19 in the 3rd trimester, while it was observed in those diagnosed with COVIDâ€19 at least in the first trimester.ConclusionThe presence of COVIDâ€19 during pregnancy may be associated with an increased risk of iatrogenic preterm birth. The frequency of preterm birth in pregnant women diagnosed with COVIDâ€19 in the second trimester is higher than in pregnant women diagnosed with COVIDâ€19 in other trimesters. As the pregnancy trimester at the time of diagnosis progresses, the frequency of cesarean section increases. While the risk of maternal hypertensive disease increases more in pregnant women with COVIDâ€19, the effect of the trimester in which COVIDâ€19 was passed on the risk of maternal hypertensive disease is not observed."</v>
          </cell>
          <cell r="E414" t="str">
            <v>OBSTETRICS &amp; GYNECOLOGY</v>
          </cell>
          <cell r="F414" t="str">
            <v>COVID-19,low birth weight,maternal hypertensive disease,preterm birth,trimester</v>
          </cell>
          <cell r="H414" t="str">
            <v>Q4</v>
          </cell>
        </row>
        <row r="415">
          <cell r="B415" t="str">
            <v>10.1111/johs.12421</v>
          </cell>
          <cell r="C415" t="str">
            <v>"AbstractBased on a national survey funded by the TÃœBÄ°TAK SOBAG Program, conducted with 1,957 respondents in 12 cities during 2013â€2014, this article examines the political memory of the 1960, 1971, 1980, and 1997 coups by describing the memories and accompanying emotions of Turkish adults. It then explains how differences in remembering and not remembering the coups are related to demographic, socioâ€cultural, political identity, and fear variables. The data reveals diverse, multidirectional, and contesting coup memory patterns. While religiosity was associated with the memories of the 1960 and 1997 coups, selfâ€declared conservatism, modernity, political identity, political fears differed across the republican/secular and conservative/Islamist divides. The multidirectional and polarized remembering is largely a reflection of the current political context of a polarized memory regime instilled by the ruling Justice and Development Party from the basis of the 1990sâ€² memory landscape, which was filled with diverse and competing narratives that challenged early republican political memories."</v>
          </cell>
          <cell r="E415" t="str">
            <v>ANTHROPOLOGY|HISTORY|SOCIOLOGY</v>
          </cell>
          <cell r="H415" t="str">
            <v>Q1</v>
          </cell>
        </row>
        <row r="416">
          <cell r="B416" t="str">
            <v>10.1111/johs.12422</v>
          </cell>
          <cell r="C416" t="str">
            <v>"AbstractThis study aims to understand how the durability of the past may be visible in a place whose past is constantly reinterpreted and unintentionally remade by coffee shop owners in their conversations with their customers in the framework of ongoing economic transformations while they weave their own identities into that of the neighbourhood. In the absence of any readily available information about the history of the area, the coffee shop owners of the Fener, Balat, and Ayvansaray neighbourhoods of Ä°stanbul interpret the cosmopolitan past of the area within the limitations of the materiality of these neighbourhoods under the influence of economic conditions. In this respect, while this article shows how social memory is commodified and tamed for daily usage, it also argues that it is a process that includes different actors and their interpretations, and that this process is bounded by the materiality and durability of the past."</v>
          </cell>
          <cell r="E416" t="str">
            <v>ANTHROPOLOGY|HISTORY|SOCIOLOGY</v>
          </cell>
          <cell r="H416" t="str">
            <v>Q1</v>
          </cell>
        </row>
        <row r="417">
          <cell r="B417" t="str">
            <v>10.1111/joor.13286</v>
          </cell>
          <cell r="C417" t="str">
            <v>"BACKGROUND\nMuscle-related temporomandibular disorders (TMD) may affect the masticatory function. Chewing function can be assessed objectively using bolus kneading tests, such as two-color chewing gum mixing ability test.\n\n\nOBJECTIVE\nThe aim was to compare the masticatory function with a two-color chewing gum test before and after treatment of the masticatory muscle-related temporomandibular disorder.\n\n\nMETHODS\nTwenty-one patients with masticatory muscle disorder according to Diagnostic Criteria for Temporomandibular Disorders (DC/TMD) were recruited as an experimental group, and further twenty-one participants without any TMD were included as controls. Pain intensity (scored on a visual analog scale) and maximum mouth opening (MMO) were recorded. Jaw Functional Limitation Scale-8 (JFLS-8) was conducted on all patients. Before and after treatment, masticatory function was evaluated with a validated bolus-kneading test, using two-color chewing gum.\n\n\nRESULTS\nThere was no statistically significant difference in chewing function before and after treatment in the experimental group (p=0.715). When these values were compared with the control group, there were no statistically significant differences (p=0.489, p=0.890). There was no correlation between masticatory function and VAS, MMO, JFLS-8 before and after treatment in the experimental group.\n\n\nCONCLUSION\nThe two-color chewing gum test is not sensitive when the masticatory performance is not severely impaired."</v>
          </cell>
          <cell r="E417" t="str">
            <v>DENTISTRY, ORAL SURGERY &amp; MEDICINE</v>
          </cell>
          <cell r="F417" t="str">
            <v>bolus-kneading test,colour-mixing ability,masticatory function,masticatory muscles,masticatory performance,temporomandibular disorders</v>
          </cell>
          <cell r="H417" t="str">
            <v>Q2</v>
          </cell>
        </row>
        <row r="418">
          <cell r="B418" t="str">
            <v>10.1111/jopr.13264</v>
          </cell>
          <cell r="C418" t="str">
            <v>"AbstractPurposeThe accuracy of digital impressions is still controversial for complete arch implant cases. The aim of this study is to compare the accuracy of different intraoral scanners with the conventional technique in terms of trueness and precision in a complete arch implant model.Material and MethodsEight implants were inserted asymmetrically in a polyurethane edentulous mandibular model with different angulations. A 3â€dimensional (3D) reference model was obtained by scanning this polyurethane model with an optical scanner. First, digital impressions were made by using 3 different intraoral scanners: Carestream 3500 (DC), Cerec Omnicam (DO) and 3Shape Trios 3 (DT). Subsequently, a nonsplinted open tray impression technique was used for conventional impression group (C) and then the master casts were digitalized with a lab scanner. Each 10 STL files belonging to 4 different impression groups were imported to a reverse engineering program, to measure distance and angle deviations from the reference model. All statistical analyses were performed after taking absolute values of the data. After comparing the impression groups with oneâ€way ANOVA, the trueness and precision values were analyzed by Tukey post hoc test and 0.05 was used as the level of significance.ResultsThe mean trueness of distance was 123.06 Â± 89.83 Âµm for DC, 229.72 Â± 121.34 Âµm for DO, 209.75Â Â± 47.07 Âµm for DT, and 345.32 Â± 75.12 Âµm for C group (p &lt; 0.0001). While DC showed significantly lower deviation compared to DO and C, no significant difference was found between DC and DT. C showed the highest distance deviation significantly in all groups; and no significant difference was found between DO and DT groups. In angle measurements; the trueness was 0.26Â° Â± 0.07Â° for DC, 0.53Â° Â± 0.42Â° for DO, 0.33Â° Â± 0.30Â° for DT, and 0.74Â° Â± 0.65Â° for C group. There was no significant difference between the groups in terms of angular trueness (p = 0.074). In terms of the precision for distance, the results of DC 80.43 Â± 29.69Â Âµm, DO 94.06 Â± 69.96 Âµm, DT 35.55 Â± 28.46 Âµm and C 66.97 Â± 36.69 Âµm were determined (p = 0.036). The significant difference was found only between DT and DO among all groups. Finally, angular precision was determined to be 0.19Â° Â± 0.11Â° for DC, 0.30Â° Â± 0.28Â° for DO, 0.22Â° Â± 0.19Â° for DT, and 0.50Â° Â± 0.38Â° for Group C. No significant difference was found between the groups, in terms of angular precision (p = 0.053).ConclusionsAll digital impression groups yielded superior data compared to conventional technique in terms of trueness. DC formed the impression group with the highest trueness in both distance and angular measurements. The results of this in vitro study suggest the use of intraoral scanners compared to the conventional impression techniques in complete arch implant cases with high angulations."</v>
          </cell>
          <cell r="E418" t="str">
            <v>DENTISTRY, ORAL SURGERY &amp; MEDICINE</v>
          </cell>
          <cell r="F418" t="str">
            <v>Accuracy,angulated implants,conventional implant impressions,digital implant impressions,complete arch</v>
          </cell>
          <cell r="H418" t="str">
            <v>Q1</v>
          </cell>
        </row>
        <row r="419">
          <cell r="B419" t="str">
            <v>10.1111/jpc.15525</v>
          </cell>
          <cell r="C419" t="str">
            <v>"Coeliac disease (CD) is an autoimmune disorder with a prevalence â‰¤2% that causes an immune reaction to gluten. Growth retardation (GR) generally accompanies CD due to gastrointestinal complications and should be treated as early as possible along with initiation of a glutenâ€free diet. The aim of this study was to determine the indicators of GR in patients with CD."</v>
          </cell>
          <cell r="E419" t="str">
            <v>PEDIATRICS</v>
          </cell>
          <cell r="F419" t="str">
            <v>breastfeeding,coeliac disease,growth retardation,paediatrics</v>
          </cell>
          <cell r="H419" t="str">
            <v>Q3</v>
          </cell>
        </row>
        <row r="420">
          <cell r="B420" t="str">
            <v>10.1111/jpc.15619</v>
          </cell>
          <cell r="C420" t="str">
            <v>"AimTo evaluate the incidence and clinical features of acute rheumatic fever (ARF) in Turkey, following the revised Jones criteria in 2015.MethodsThis multicentre study was designed by the Acquired Heart Diseases Working Group of the Turkish Pediatric Cardiology and Pediatric Cardiac Surgery Association in 2016. The data during the first attack of 1103 ARF patients were collected from the paediatric cardiologists between 1 January 2016 and 31 December 2016.ResultsTurkey National Institute of Statistics records of 2016 were used for the determination of ARF incidence with regard to various cities and regions separately. The estimated incidence rate of ARF was 8.84/100â€‰000 in Turkey. The ARF incidence varied considerably among different regions. The highest incidence was found in the Eastern Anatolia Region as 14.4/100â€‰000, and the lowest incidence was found in the Black Sea Region as 3.3/100â€‰000 (Pâ€‰&lt;â€‰0.05). Clinical carditis was the most common finding. The incidence of clinical carditis, subclinical carditis, polyarthritis, aseptic monoarthritis, polyarthralgia and Sydenham's Chorea was 53.5%, 29.1%, 52.8%, 10.3%, 18.6% and 7.9%, respectively. The incidences of clinical carditis, subclinical carditis, polyarthritis and polyarthralgia were found to be significantly different among different regions (Pâ€‰&lt;â€‰0.05).ConclusionThe findings of this nationwide screening of ARF suggest that Turkey should be included in the moderateâ€risk group."</v>
          </cell>
          <cell r="E420" t="str">
            <v>PEDIATRICS</v>
          </cell>
          <cell r="F420" t="str">
            <v>acute rheumatic fever,clinical characteristic,incidence,Turkey</v>
          </cell>
          <cell r="H420" t="str">
            <v>Q3</v>
          </cell>
        </row>
        <row r="421">
          <cell r="B421" t="str">
            <v>10.1111/nuf.12672</v>
          </cell>
          <cell r="C421" t="str">
            <v>"BACKGROUND\nThe quality of communication and collaboration with colleagues, managers, and physicians affects the intention to leave a job and the profession for new graduate nurses (NGNs). New graduates have difficulties communicating and collaborating with physicians, especially.\n\n\nAIM\nThis study aimed to determine the relationship between the attitudes of nurse-physician collaboration and the levels of intention to leave the current job and professional commitment among NGNs.\n\n\nMETHODOLOGY\nThis descriptive, cross-sectional study was carried out with 231 NGNs in four private hospitals affiliated with an university. Data were collected by using a self-administered questionnaire, including a personal information form, the Jefferson Scale of Attitudes towards Physician-Nurse Collaboration, Intention to Leave Scale, and Nursing Professional Commitment Scale. Data analysis was performed using descriptive statistics, and Spearman's rank correlation coefficients.\n\n\nRESULTS\nNGNs had a high positive attitude towards nurse-physician collaboration with a median score of 49 (45-54). The professional commitment of NGNs was high level with a median score of 75 (69-86). The intention to leave the current job median score was 3 (2.3-3.6) out of 5. There was a statistically significant correlation between attitudes towards nurse-physician collaboration and the levels of intention to leave the current job (rs â€‰=â€‰-0.22; pâ€‰&lt;â€‰0.01) and professional commitment (rs â€‰=â€‰0.42; pâ€‰&lt;â€‰0.01).\n\n\nCONCLUSION\nThe results showed that improving NGNs' attitudes towards nurse-physician collaboration increases the professional commitment and reduces turnover intention."</v>
          </cell>
          <cell r="E421" t="str">
            <v>NURSING</v>
          </cell>
          <cell r="F421" t="str">
            <v>interprofessional relations,nurses,personnel turnover,physician-nurse relations,physicians</v>
          </cell>
          <cell r="H421" t="str">
            <v>Q1</v>
          </cell>
        </row>
        <row r="422">
          <cell r="B422" t="str">
            <v>10.1111/nuf.12795</v>
          </cell>
          <cell r="C422" t="str">
            <v>"BACKGROUND\nCommunication and collaboration with colleagues are crucial for new graduate nurses (NGNs) because of the adaptation to both the healthcare system and professional role. Therefore, working units with effective collaboration among nurses may increase new graduates' work readiness.\n\n\nAIM\nThis study aimed to determine the relationship between the perceptions of nurse-nurse collaboration and the work readiness level among NGNs.\n\n\nMETHODOLOGY\nThis descriptive, cross-sectional study was carried out with 198 NGNsÂ in four private hospitals affiliated with a university. A self-administered questionnaire, including a personal information form, the Nurse-Nurse Collaboration Scale, and Work Readiness Scale, was used to collect data. Data analysis was performed using descriptive tests, and Spearman's rank correlation coefficients.\n\n\nRESULTS\nNGNsÂ had moderate perceptions of nurse-nurse collaboration, with a median score of 2.46 (2.23-2.88) out of 4. Work readiness among NGNsÂ was moderate, with a median score of 304 (270-332) out of 460. There was a statistically significant correlation between nurse-nurse collaboration and work readiness (rs â€‰=â€‰0.26; pâ€‰&lt;â€‰.001).\n\n\nCONCLUSION\nThe results of this study demonstrated that improving nurse-nurse collaboration is an effective way to increase work readiness among NGNs."</v>
          </cell>
          <cell r="E422" t="str">
            <v>NURSING</v>
          </cell>
          <cell r="F422" t="str">
            <v>interdisciplinary communication,interpersonal relations,nurses,work readiness</v>
          </cell>
          <cell r="H422" t="str">
            <v>Q1</v>
          </cell>
        </row>
        <row r="423">
          <cell r="B423" t="str">
            <v>10.1111/papr.13302</v>
          </cell>
          <cell r="C423" t="str">
            <v>"AbstractPurposeIntervertebral disc degeneration (IVDD), Modic changes, and fatty infiltration in the paraspinal muscles are possible causes of low back pain (LBP). Multifidus has been the most commonly blamed paraspinal muscle in the etiology of LBP. However, it contributes to 20% of the extensor moment on the lumbar spine. In the present study, we aimed to identify whether patients with LBP and asymptomatic subjects differed in terms of intervertebral discs, endâ€plates, and fatty infiltration in their paraspinal muscles.MethodsConsecutive women and men, who visited the spine outpatient clinics with chronic LBP and had lumbar spine MRI for their LBP without leg pain were included. Asymptomatic subjects without LBP/leg pain for the last year were recruited. Modic changes, IVDD, and fatty infiltration in the paraspinal muscles were evaluated on lumbar spine magnetic resonance imagings of the patients with LBP and ageâ€, genderâ€ and BMIâ€matched asymptomatic controls.ResultsLow back pain was closely associated with fatty infiltration in the paraspinal muscles at all lumbar levels whereas it had association with severe IVDD and Modic changes at lower lumbar levels. Multifidus at the lower lumbar levels was the fattiest paraspinal muscle in both asymptomatic subjects and patients with LBP. Patients with LBP had severe fatty infiltration in the erector spinae at the upper lumbar levels.ConclusionSevere IVDD and Modic changes were more common at lower lumbar levels in patients with LBP. Both asymptomatic subjects and those with LBP had fatty multifidus at lower lumbar levels, whereas those with LBP had fatty infiltration in the erector spinae at upper lumbar levels. We suggest that fatty infiltration could have started in the multifidus. The erector spinae had greater contribution to the lumbar extension compared to the multifidus. Thus, LBP could develop when the quality of the erector spinae at the upper lumbar levels impairs due to fatty infiltration."</v>
          </cell>
          <cell r="E423" t="str">
            <v>ANESTHESIOLOGY|CLINICAL NEUROLOGY</v>
          </cell>
          <cell r="F423" t="str">
            <v>disc degeneration,fatty infiltration,low back pain,Modic changes,paraspinal muscle</v>
          </cell>
          <cell r="H423" t="str">
            <v>Q3</v>
          </cell>
        </row>
        <row r="424">
          <cell r="B424" t="str">
            <v>10.1111/pere.12451</v>
          </cell>
          <cell r="C424" t="str">
            <v>"AbstractWe conducted a systematic review of research on relational sacrifices in romantic relationships from 2002 to 2021 [NÂ =Â 115 studies] to answer three questions: Q1: Whose voices and vantage points are represented in the research?; Q2: What types of questions are valued?; Q3: What are the reflections and connections about relational sacrifices that were learned during the review? To address Q1, we coded sample demographics of study participants on geographical location, race/ethnicity, education/income/SES, gender (i.e., gender differences explored and beyond gender binaries), sexual orientation, age, and disability, using a coding system of 1 (exclusion/absence) to 5 (focus on contextâ€relevant experiences for underrepresented samples). Results for Q1 showed that the most frequent codes were 1 (exclusion/absence) for information about the samples' disability status, education/income/SES, and both codes for gender (i.e., gender differences explored and beyond gender binaries); when demographic information was reported, the most frequent codes were 2 (compensatory addition) for age, sexual orientation, geographical location, and race/ethnicity. To address Q2, we coded for aspects of the study designs and conceptual dimensions of sacrifice. Results for Q2 showed that a majority of the studies in our review used quantitative and closeâ€ended measures emphasizing behavioral frequency of sacrifice. For Q3, we include our own reflections and connections about relational sacrifices, questioning research methods, and challenging assumptions drawn from existing research to move toward a more inclusive science."</v>
          </cell>
          <cell r="E424" t="str">
            <v>COMMUNICATION|FAMILY STUDIES|PSYCHOLOGY, SOCIAL</v>
          </cell>
          <cell r="F424" t="str">
            <v>inclusivity,interdependence,relational sacrifices,systematic review</v>
          </cell>
          <cell r="H424" t="str">
            <v>Q4</v>
          </cell>
        </row>
        <row r="425">
          <cell r="B425" t="str">
            <v>10.1111/pere.12473</v>
          </cell>
          <cell r="C425" t="str">
            <v>"AbstractInterpersonal acceptanceâ€rejection theory (IPARTheory) asserts that recollections of parental rejection in childhood tend to result in psychological maladjustment and intimacy problems in later romantic relationships. Informed by IPARTheory, we investigated the association between maternal &amp; paternal rejection, and fear of intimacy by the mediating role of psychological maladjustment in a Turkish sample with 462 mostly young adults. We further explored the moderator role of gender in Model 1 and the moderating roles of both gender and intimate partner rejection in Model 2. Model 1 revealed that adults who had experienced maternal and paternal rejection in childhood tended to be psychologically maladjusted. Consequently, they also tended to have a fear of intimacy, regardless of gender. Model 2 revealed that women who recall having been rejected in childhood by their mothers tended to be psychologically maladjusted and to have a significant fear of intimacy when they also experienced moderate or more than moderate intimateâ€partner rejection. However, both women and men who experienced paternal rejection in childhood tended to be psychologically maladjusted and to experience a greater fear of intimacy when they perceived any degree of intimate partner rejection. Implications of the results for theory, research, and practice are discussed."</v>
          </cell>
          <cell r="E425" t="str">
            <v>COMMUNICATION|FAMILY STUDIES|PSYCHOLOGY, SOCIAL</v>
          </cell>
          <cell r="F425" t="str">
            <v>fear of intimacy,intimate-partner rejection,IPARTheory,moderated mediation,parental rejection</v>
          </cell>
          <cell r="H425" t="str">
            <v>Q4</v>
          </cell>
        </row>
        <row r="426">
          <cell r="B426" t="str">
            <v>10.1111/petr.14015</v>
          </cell>
          <cell r="C426" t="str">
            <v>"AbstractBackgroundALD is a rare Xâ€linked peroxisomal metabolic disorder with many distinct phenotypes of disease that emerge on a wide scale from adrenal insufficiency to fatal cALD which progresses to a vegetative state within a few years. Currently, HSCT is the only treatment method known to stabilize disease progression in patients with cALD. In this study, we aim to report our HSCT experience in patients with cALD and the factors that determine the success of HSCT, as a singleâ€center experience.MethodsThe study cohort involves 23 boys with cALD and three patients with ALD trait and newâ€onset abnormal behavior who underwent allogeneic HSCT between January 2012 and September 2019 in our transplantation center. Loes scoring, NFS, scale and MFD were performed for evaluating the severity of the cerebral disease. The study cohort was divided into two groups according to baseline NFS and Loes score: earlyâ€stage (NFSÂ â‰¤Â 1 and Loes score &lt;9) and advanced stage (NFSÂ &gt;Â 1 or Loes score â‰¥9).ResultsThe pretransplant stage of disease impacted both OS and MFDâ€free survival. The estimated OS and MFDâ€free survival at 3Â years in patients with advanced disease were 46.1% (95% CI 19.0â€“73.2) and 23.1% (95% CI 0.2â€“46.0), respectively, and all patients with the early disease were alive (p: .004) and MFDâ€free (pÂ &lt;Â .001) at 3Â years.ConclusionThis study demonstrated that early HSCT is vital in patients with cALD. The earlyâ€stage disease had a significant survival advantage and free from disease progression after HSCT."</v>
          </cell>
          <cell r="E426" t="str">
            <v>PEDIATRICS|TRANSPLANTATION</v>
          </cell>
          <cell r="F426" t="str">
            <v>adrenoleukodystrophy,allogeneic stem cell transplantation,children</v>
          </cell>
          <cell r="H426" t="str">
            <v>Q4</v>
          </cell>
        </row>
        <row r="427">
          <cell r="B427" t="str">
            <v>10.1111/petr.14439</v>
          </cell>
          <cell r="C427" t="str">
            <v>"AbstractBackgroundSerine/threonine kinase 4 (STK4) deficiency is a combined immunodeficiency (CID) characterized by early onset recurrent bacterial, viral, and fungal infections. Allogeneic hematopoietic stem cell transplantation (HSCT) is a curative therapy for CID; however, little is known about the necessity and benefits of HSCT in patients with STK4 deficiency.MethodsWe report two siblings with STK4 deficiency transplanted from two unrelated donors with the same conditioning regimen.ResultsIn the conditioning regimen, rituximab was given on Day âˆ’11 (375â€‰mg/m2), and sirolimus was added on the same day. Busulfan was administered at a myeloablative dose (3.2Â mg/kg; Days âˆ’7 to âˆ’4) with 150â€‰mg/m2 of fludarabine (Days âˆ’7 to âˆ’3). They were transplanted with peripheral blood stem cells, and graftâ€versusâ€host disease (GVHD) prophylaxis was administered with 10Â mg/m2 methotrexate on Days 1, 3, and 6. In addition, mycophenolate mofetil (MMF) was started on Day 1 with ongoing use of sirolimus. We did not encounter venoâ€occlusive disease (VOD), highâ€grade acute GVHD, or significant organ toxicity in either patient. Both patients were well at the end of the first year after HSCT with complete donor chimerism.ConclusionsSerine/threonine kinase 4 deficiency is a disease with high mortality postâ€HSCT; therefore, the conditioning regimen and GVHD prophylaxis strategies are important considerations in these patients. In our opinion, the conditioning regimen, which includes rituximab and busulfan and fludarabine (BUâ€FLU), GVHD prophylaxis with sirolimus and MMF, and shortâ€term methotrexate, offers favorable outcomes and is well tolerated in our STK4â€deficient patients."</v>
          </cell>
          <cell r="E427" t="str">
            <v>PEDIATRICS|TRANSPLANTATION</v>
          </cell>
          <cell r="F427" t="str">
            <v>children,hematopoietic stem cell transplantation,STK4 deficiency</v>
          </cell>
          <cell r="H427" t="str">
            <v>Q4</v>
          </cell>
        </row>
        <row r="428">
          <cell r="B428" t="str">
            <v>10.1111/ppc.12559</v>
          </cell>
          <cell r="C428" t="str">
            <v>"PURPOSE\nThe aim of this study was to provide the Turkish version of the Illness Management and Recovery Scale-Patient (IMRS-P) form and to determine its psychometric properties.\n\n\nDESIGN AND METHODS\nThis is a descriptive and correlation study. The sample of this study consisted of 75 people with schizophrenia. Translation and content validity, confirmatory factor analyses were used to test the validity and reliability of the scales.\n\n\nRESULTS\nThe content validity index was found to be 0.93. The scale had a three-factor structure, which subscales were 0.69 for recovery, 0.69 for management, and 0.35 for substance. The Cronbach's alpha was determined as 0.76.\n\n\nPRACTICE IMPLICATIONS\nThe Turkish version of the IMRS-P form is a valid and reliable scale for Turkish patients."</v>
          </cell>
          <cell r="E428" t="str">
            <v>NURSING|NURSING|PSYCHIATRY|PSYCHIATRY</v>
          </cell>
          <cell r="F428" t="str">
            <v>illness management,recovery,reliability,scale,schizophrenia,validity</v>
          </cell>
          <cell r="H428" t="str">
            <v>Q2</v>
          </cell>
        </row>
        <row r="429">
          <cell r="B429" t="str">
            <v>10.1111/ppc.12934</v>
          </cell>
          <cell r="C429" t="str">
            <v>"PURPOSE\nThis study aimed to adapt the Wilson-Sims Fall Scale to Turkish and assess the levels of sensitivity and selectivity.\n\n\nDESIGN AND METHODS\nThe scale consisting of two sections and 15 items including age, gender, mental and physical status, elimination, impairments, gait/balance, falls' history, medications, and detox protocol was administered to 750 patients in psychiatric clinic.\n\n\nFINDINGS\nThe kappa coefficient of the study (K: 0.44, pâ€‰&lt;â€‰.000) showed a moderate agreement. The sensitivity and selectivity rates of the scale were 78.5% and 77.6%, respectively. Positive and negative predictive values were 6.25% and 99.4%.\n\n\nPRACTICE IMPLICATIONS\nThe scale has acceptable sensitivity and selectivity values. It is best practice to use both Wilson-Sims and Itaki Scale simultaneously for identification of patients at risk of falling."</v>
          </cell>
          <cell r="E429" t="str">
            <v>NURSING|NURSING|PSYCHIATRY|PSYCHIATRY</v>
          </cell>
          <cell r="F429" t="str">
            <v>fall,health sciences,nursing,patient safety,psychiatry</v>
          </cell>
          <cell r="H429" t="str">
            <v>Q2</v>
          </cell>
        </row>
        <row r="430">
          <cell r="B430" t="str">
            <v>10.1111/soru.12327</v>
          </cell>
          <cell r="C430" t="str">
            <v>"AbstractThis article aims to understand how villagers whose ancestors had to migrate to Turkey from Greece in 1924 as a result of the Greekâ€Turkish population exchange remember their past. Within a theoretical framework built around the concept of habitus from Bourdieuâ€™s oeuvre, social memory, and identity, I argue that social memory finds a practical place in the habitus of the villagers and promotes the villagersâ€™ identity through practices. By emphasising the time dimension in the working of habitus, I also discuss how habitus attunes to changing conditions. Based on semiâ€ethnographic fieldwork, this article claims that the relationship among habitus, social memory, and identity was established within the framework of everyday lives that revolved around tobacco production and later changed with the transformation of the tobacco market in Turkey after the 1980s."</v>
          </cell>
          <cell r="E430" t="str">
            <v>GEOGRAPHY|SOCIOLOGY</v>
          </cell>
          <cell r="F430" t="str">
            <v>Greek&amp;#8208,Turkish population exchange,habitus,neo&amp;#8208,liberal agricultural transformation in Turkey,social memory</v>
          </cell>
          <cell r="H430" t="str">
            <v>Q1</v>
          </cell>
        </row>
        <row r="431">
          <cell r="B431" t="str">
            <v>10.1111/ssm.12540</v>
          </cell>
          <cell r="C431" t="str">
            <v>"AbstractGender equity is a critical agenda for Science, Technology, Engineering and Mathematics (STEM) education to increase women involvement in the STEM pathway. Our study is about the impact of a project in which allâ€girl teams participated to an educational robotics program. We used quantitative and qualitative data to determine the impact and understand the girls' program experiences. After the participation of the program, the mean scores have increased in interest in STEM, interest in STEM careers, STEM identity, and understanding of STEM scales. The groups underlined their problem solving and group work experiences, as well as their excitement and motivation related with the STEM activities."</v>
          </cell>
          <cell r="E431" t="str">
            <v>EDUCATION &amp; EDUCATIONAL RESEARCH</v>
          </cell>
          <cell r="F431" t="str">
            <v>educational robotics programs,gender equity,girls in STEM,STEM education,STEM project-based learning</v>
          </cell>
          <cell r="H431" t="str">
            <v>Q3</v>
          </cell>
        </row>
        <row r="432">
          <cell r="B432" t="str">
            <v>10.11121/ijocta.01.2021.00908</v>
          </cell>
          <cell r="C432" t="str">
            <v>"Since the need to investigate many aspects of q-dierence equations cannot be ruled out,Â this article aims to explore response of the mechanism modelled by linear and nonlinear q-difference equations. Therefore, analysis of an important bundle of nonlinear q-difference equations, in particularÂ the q-Bernoulli difference equation, has been developed. In this context, capturing the behaviour of the q-Bernoulli difference equation as well as linear q-difference equations are considered to be a significant contribution here. Illustrative examples related to the difference equations are also presented."</v>
          </cell>
          <cell r="E432" t="str">
            <v>MATHEMATICS, APPLIED</v>
          </cell>
          <cell r="F432" t="str">
            <v>q -Difference equation,Physical processes,Solution,Algorithm</v>
          </cell>
          <cell r="H432" t="str">
            <v>Q1</v>
          </cell>
        </row>
        <row r="433">
          <cell r="B433" t="str">
            <v>10.1117/1.JNP.17.036003</v>
          </cell>
          <cell r="C433" t="str">
            <v>"Abstract. Hybrid plasmonic waveguides (HPWs) are capable of supporting subwavelength optical modes. In a composite HPW (CHPW), the propagation loss can be minimized by adjusting the geometrical parameters of its component layers to reduce field flux inside its lossy metal layer. A ring resonator-based plasmonic sensor based on a waveguide structure of suspended CHPW (SCHPW) is designed for gas sensing applications. SCHPWs are applied for the introduced sensorâ€™s 200-nm-wide bus waveguide and 1-Î¼m-radius ring resonator. The operational parameters of the sensor, such as sensitivity and figure of merit (FOM), are investigated in the near-infrared region using a three-dimensional finite-difference time-domain method. For two considered resonances of the proposed sensor, sensitivities of 236.2 and 270â€‰â€‰nmâ€‰â€‰/â€‰â€‰RIU with FOMs of 67.4 and 37.5â€‰â€‰RIUâ€‰â€‰âˆ’â€‰â€‰1 are achieved, respectively. Additionally, for the proposed sensor, a straightforward mechanism for sensing the mass density of the polarizable hydrogen gas is introduced using the theoretical indexâ€“density relation of Lorentzâ€“Lorenz. The mass density sensitivities of 358.2 and 409.3â€‰â€‰nmâ€‰â€‰/â€‰â€‰â€‰â€‰(â€‰â€‰gâ€‰â€‰/â€‰â€‰cm3â€‰â€‰)â€‰â€‰ are achieved for the two considered resonances for the hydrogen gas at the range of 0 to 0.05â€‰â€‰gâ€‰â€‰/â€‰â€‰cm3."</v>
          </cell>
          <cell r="E433" t="str">
            <v>NANOSCIENCE &amp; NANOTECHNOLOGY|OPTICS</v>
          </cell>
          <cell r="F433" t="str">
            <v>mass density,hybrid plasmonic waveguide,polarizable hydrogen gas,refractive index sensor</v>
          </cell>
          <cell r="H433" t="str">
            <v>Q4</v>
          </cell>
        </row>
        <row r="434">
          <cell r="B434" t="str">
            <v>10.1117/1.NPh.9.2.021903</v>
          </cell>
          <cell r="C434" t="str">
            <v>"Abstract. Extracellular vesicles (EVs) are nanoparticles (30 to 1000 nm in diameter) surrounded by a lipid-bilayer which carry bioactive molecules between local and distal cells and participate in intercellular communication. Because of their small size and heterogenous nature they are challenging to characterize. Here, we discuss commonly used techniques that have been employed to yield information about EV size, concentration, mechanical properties, and protein content. These include dynamic light scattering, nanoparticle tracking analysis, flow cytometry, transmission electron microscopy, atomic force microscopy, western blotting, and optical methods including super-resolution microscopy. We also introduce an innovative technique for EV characterization which involves immobilizing EVs on a microscope slide before staining them with antibodies targeting EV proteins, then using the reflectance mode on a confocal microscope to locate the EV plane. By then switching to the microscopeâ€™s fluorescence mode, immunostained EVs bearing specific proteins can be identified and the heterogeneity of an EV preparation can be determined. This approach does not require specialist equipment beyond the confocal microscopes that are available in many cell biology laboratories, and because of this, it could become a complementary approach alongside the aforementioned techniques to identify molecular heterogeneity in an EV preparation before subsequent analysis requiring specialist apparatus."</v>
          </cell>
          <cell r="E434" t="str">
            <v>NEUROSCIENCES|OPTICS</v>
          </cell>
          <cell r="F434" t="str">
            <v>extracellular vesicles,confocal microscopy,imaging,reflectance,fluorescence,brain</v>
          </cell>
          <cell r="H434" t="str">
            <v>Q1</v>
          </cell>
        </row>
        <row r="435">
          <cell r="B435" t="str">
            <v>10.1123/jab.2021-0259</v>
          </cell>
          <cell r="C435" t="str">
            <v>"Observable scapular dyskinesis is associated with biomechanical deficits. Preventative interventions aimed at correcting these deficits may aid in preventing the development and resolution of shoulder pain. Our purpose was to investigate the effects of kinesio taping (KT) on common biomechanical deficits associated with scapular dyskinesis and shoulder pain. Participants (nâ€‰=â€‰51) with observable scapular dyskinesis, and without shoulder pain were randomized to KT, KT-placebo, or a no-treatment control group. Measurements taken before, immediately after taping, and 3Â days later included pectoralis minor muscle length, lower trapezius muscle strength, scapular upward rotation angle at 0Â° to 120Â° in scapular plane humeral elevation and acromiohumeral distance. There were no changes in scapular upward rotation, lower trapezius strength, and acromiohumeral distance immediately after taping or 3Â days later compared to baseline (Pâ€‰&gt;â€‰.05). The pectoralis minor increased in length in the KT group on day 3 compared to directly after taping (Pâ€‰=â€‰.03), but no difference between groups or interaction between time and group were determined (Pâ€‰&gt;â€‰.05). Scapular dyskinesis prevalence did not change over time in any group (Pâ€‰&gt;â€‰.05). In people with scapular dyskinesis free from shoulder pain, KT applied to the shoulder cannot be recommended to ameliorate the biomechanical deficits associated with shoulder pain."</v>
          </cell>
          <cell r="E435" t="str">
            <v>ENGINEERING, BIOMEDICAL|SPORT SCIENCES</v>
          </cell>
          <cell r="F435" t="str">
            <v>scapula,prevention,ultrasonography,subacromial space,acromiohumeral distance,physical therapy</v>
          </cell>
          <cell r="H435" t="str">
            <v>Q4</v>
          </cell>
        </row>
        <row r="436">
          <cell r="B436" t="str">
            <v>10.1136/annrheumdis-2021-eular.2846</v>
          </cell>
          <cell r="C436" t="str">
            <v>"Suboptimal control of RA may lead to severe and progressive articular damage, loss of function, and deterioration of the quality of life (QoL).To assess treatment satisfaction, sociodemographic, clinical, health care resource utilization, and QoL characteristics of patients with sub-optimally controlled RA and treated with conventional synthetic and/or biologic DMARDs.This study was an international, multicenter, cross-sectional, non-interventional study. Adult RA patients with moderate to severe disease activity (DAS28&gt;3.2) were enrolled. Patient satisfaction was evaluated with Treatment Satisfaction Questionnaire for Medication (TSQM, version 1.4) with a scale ranging from 0 (indicating poor satisfaction) to 100 (indicating perfect satisfaction). Patients were questioned regarding treatment adherence, patient preferences, and expectations. Workability was evaluated using Work Productivity and Activity Impairment Questionnaire-Rheumatoid Arthritis (WPAI-RA, version 2.0). Short Form 36 (V2) survey were performed to all patients.One hundred sixty-four patients were included in the study and most (78.0%) were female. The median age was 57.0 years, ranging between 22.0 and 84.0 years. Half of the patients (50.6%) were primary school graduates and 6.1% were unemployed due to RA and seeking work. Median time since RA diagnosis was 8.0 years and mean (Â±SD) DAS28-CRP score was 4.8 (Â±1.0). Mean total activity impairment was 54.9% (Â±27.4). In the past 3 months from enrollment, the mean number of healthcare professional and emergency room visits were 1.8 (Â±1.1) and 1.8 (Â±1.3), respectively. Mean number and length of hospitalizations in the previous 3 months were 1.1 (Â±0.3) times and 8.3 (Â±7.2) days, respectively. Mean TSQM scores were 53.5 (Â±21.4) for effectiveness, 86.0 (Â±26.7) for side effects, 67.8 (Â±16.5) for convenience, and 57.7 (Â±22.0) for global satisfaction. The leading expectation was â€˜lasting relief of RA symptomsâ€™ (mean score: 5.8). Preferred time until the effect of onset was â€˜up to 1 weekâ€™ for 76.2% of the patients. Most of the patients (57.9%) preferred oral administrations and the most preferred frequency of administration was â€˜once per dayâ€™ (46.3%). Mean physical and mental component summary scores for Short Form 36 (V2) survey were 37.9 (Â±8.3) and 40.1 (Â±10.7).Two-thirds of the patients with RA who have suboptimal responses are not satisfied with their treatments. Moreover, oral and once-daily treatment approaches stand out in patient preferences. Finally, suboptimal control leads to deterioration in clinical characteristics, workability, and QoL of patients with RA.The design, study conduct, and financial support for the study were provided by AbbVie. AbbVie participated in the interpretation of data, review, and approval of the publication. All authors have received research funding for this study. The authors wish to thank B. Murat Ozdemir of Monitor CRO for medical editing and reviewing services of this manuscript. AbbVie provided funding to Monitor CRO for this work.Umut Kalyoncu Speakers bureau: AbbVie, Pfizer, UCB, Novartis, and Janssen, Consultant of: AbbVie, Pfizer, UCB, Novartis, and Lilly, Grant/research support from: AbbVie, Pfizer, and Janssen, Adem Kucuk Speakers bureau: AbbVie, Gokhan Sargin: None declared, Fatih Ozdener Speakers bureau: UCB, Nutricia Advanced Medical Nutrition, Grant/research support from: Nutricia Advanced Medical Nutrition, Servet YolbaÅŸ Speakers bureau: AbbVie, UCB, Pfizer, and MSD, Berna Yurttas: None declared, Sezin Turan: None declared, GezmiÅŸ Kimyon Speakers bureau: AbbVie, Amgen, Pfizer, Novartis, UCB, MSD, Johnson and Johnson, and Celltrion, Consultant of: Amgen, and Pfizer, ALI SAHIN Speakers bureau: Roche, Pfizer, and AbbVie, Consultant of: Roche and Pfizer, Sedat Yilmaz Speakers bureau: UCB, Pfizer, AbbVie, MSD, Novartis, and Celltrion, Consultant of: Pfizer and Novartis, Ridvan Mercan Speakers bureau: AbbVie, Novartis, MSD, Pfizer, UCB, Roche, Amgen, and Celltrion, Consultant of: Novartis, MSD, Pfizer, and Celltrion, Hakan Emmungil Speakers bureau: AbbVie, Pfizer, Novartis, and MSD, Muhammet Ã‡inar Speakers bureau: AbbVie, Pfizer, Celltrion, UCB, Amgen, Novartis, and MSD, Grant/research support from: AbbVie, Pfizer, Celltrion, UCB, Amgen, Novartis, and MSD, Ä°lhan Sezer Speakers bureau: AbbVie, Pfizer, MSD, Novartis, Celltrion, UCB, Amgen, and Abdi Ibrahim, Consultant of: AbbVie, Pfizer, MSD, Novartis, Celltrion, UCB, Amgen, and Abdi Ibrahim, Grant/research support from: AbbVie, Pfizer, MSD, Novartis, Celltrion, UCB, Amgen, and Abdi Ibrahim, TimuÃ§in KaÅŸifoÄŸlu Speakers bureau: AbbVie, Amgen, Roche, MSD, Novartis, Pfizer, and UCB, Consultant of: AbbVie, Amgen, Roche, MSD, Novartis, Pfizer, and UCB, Fulya Cosan Speakers bureau: AbbVie, Pfizer, Novartis, UCB, and MSD, Taskin Senturk: None declared, Nevsun Inanc Speakers bureau: AbbVie, UCB, Novartis, Pfizer, Roche, Lilly and MSD, Consultant of: Roche and Pfizer, Grant/research support from: Roche and Pfizer"</v>
          </cell>
          <cell r="E436" t="str">
            <v>RHEUMATOLOGY</v>
          </cell>
          <cell r="H436" t="str">
            <v>Q1</v>
          </cell>
        </row>
        <row r="437">
          <cell r="B437" t="str">
            <v>10.1142/S0129183122501042</v>
          </cell>
          <cell r="C437" t="str">
            <v>" The aim of this work is to provide an efficient technique for numerical solutions of the reactionâ€“dispersion equations including convection and diffusion. The Chebyshev spectral collocation method (ChSCM) is used in both space and time to exhibit anti-kink-type waves that appear as the result of the proposed model equations. It is shown that the revealed solutions are promising to efficiently catch such challenging physical behavior. Quantitative convergence results in both time and space are illustrated for the reactionâ€“dispersion problems. "</v>
          </cell>
          <cell r="E437" t="str">
            <v>COMPUTER SCIENCE, INTERDISCIPLINARY APPLICATIONS|PHYSICS, MATHEMATICAL</v>
          </cell>
          <cell r="F437" t="str">
            <v>Reaction-dispersion equations,anti-kink waves,space-time spectral method,Chebyshev collocation method</v>
          </cell>
          <cell r="H437" t="str">
            <v>Q2</v>
          </cell>
        </row>
        <row r="438">
          <cell r="B438" t="str">
            <v>10.1142/S0217979222502290</v>
          </cell>
          <cell r="C438" t="str">
            <v>"A new generalized KdV equation, describing the motions of long waves in shallow water under the gravity field, is considered in this paper. By adopting a series of well-organized methods, the BÃ¤cklund transformation, the bilinear form and diverse wave structures of the governing model are formally extracted. The exact solutions listed in this paper are categorized as lump-type, complexiton, and soliton solutions. To exhibit the physical mechanism of the obtained solutions, several graphical illustrations are given for particular choices of the involved parameters. As a direct consequence, diverse wave structures given in this paper enrich the studies on the KdV-type equations."</v>
          </cell>
          <cell r="E438" t="str">
            <v>PHYSICS, APPLIED|PHYSICS, CONDENSED MATTER|PHYSICS, MATHEMATICAL</v>
          </cell>
          <cell r="F438" t="str">
            <v>New generalized KdV equation,well-organized methods,Backlund transformation,bilinear form,lump-type,complexiton,and soliton solutions</v>
          </cell>
          <cell r="H438" t="str">
            <v>Q3</v>
          </cell>
        </row>
        <row r="439">
          <cell r="B439" t="str">
            <v>10.1142/S0217979223500637</v>
          </cell>
          <cell r="C439" t="str">
            <v>" In this paper, the symmetry reduction method and Nucciâ€™s reduction method are used to obtain exact solutions to the Trikiâ€“Biswas equation. Furthermore, the new conservation theorem is utilized for finding the conservation laws of the given model. The conservation laws are derived for each admitted symmetry of the Trikiâ€“Biswas equation and satisfy the divergence condition. The 3D, contour and 2D figures are finally plotted to show the dynamics of the obtained exact solutions. "</v>
          </cell>
          <cell r="E439" t="str">
            <v>PHYSICS, APPLIED|PHYSICS, CONDENSED MATTER|PHYSICS, MATHEMATICAL</v>
          </cell>
          <cell r="F439" t="str">
            <v>Triki-Biswas equation,Nucci's reduction method,symmetry reduction method,new conservation theorem,exact solutions,conservation laws</v>
          </cell>
          <cell r="H439" t="str">
            <v>Q3</v>
          </cell>
        </row>
        <row r="440">
          <cell r="B440" t="str">
            <v>10.1142/S0218348X22400308</v>
          </cell>
          <cell r="C440" t="str">
            <v>" In this paper, we develop a numerical method for the solution of nonlinear fractional integral equations (NFIEs) based on Haar wavelet collocation technique (HWCT). Under certain conditions, we also prove the uniqueness and existence as well as Hyersâ€“Ulam (HU) stability of the solution. With the help of the mentioned technique, the considered problem is transformed to a system of algebraic equations which is then solved for the required results by using Broyden algorithm. To check the validation and convergence of the proposed technique, some examples are given. For different number of collocation points (CPs), maximum absolute and mean square root errors are computed. The results show that for solving these equations, the HWCT is effective. The convergence rate is also measured for different CPs, which is nearly equal to [Formula: see text] "</v>
          </cell>
          <cell r="E440" t="str">
            <v>MATHEMATICS, INTERDISCIPLINARY APPLICATIONS|MULTIDISCIPLINARY SCIENCES</v>
          </cell>
          <cell r="F440" t="str">
            <v>NFIEs,Uniqueness and Existence,HWCT,CPs</v>
          </cell>
          <cell r="H440" t="str">
            <v>Q1</v>
          </cell>
        </row>
        <row r="441">
          <cell r="B441" t="str">
            <v>10.1142/S0218348X22400412</v>
          </cell>
          <cell r="C441" t="str">
            <v>" Currently, a study has come out with a novel class of differential operators using fractional-order and variable-order fractal Atanganaâ€“Baleanu derivative, which in turn, became the source of inspiration for new class of differential equations. The aim of this paper is to apply the operation matrix to get numerical solutions to this new class of differential equations and help us to simplify the problem and transform it into a system of an algebraic equation. This method is applied to solve two types, linear and nonlinear of fractal differential equations. Some numerical examples are given to display the simplicity and accuracy of the proposed technique and compare it with the predictorâ€“corrector and mixture two-step Lagrange polynomial and the fundamental theorem of fractional calculus methods. "</v>
          </cell>
          <cell r="E441" t="str">
            <v>MATHEMATICS, INTERDISCIPLINARY APPLICATIONS|MULTIDISCIPLINARY SCIENCES</v>
          </cell>
          <cell r="F441" t="str">
            <v>Fractal Differential Equations,Spectral Method,Nonsingular Kernel Derivatives</v>
          </cell>
          <cell r="H441" t="str">
            <v>Q1</v>
          </cell>
        </row>
        <row r="442">
          <cell r="B442" t="str">
            <v>10.1142/S0218348X22401211</v>
          </cell>
          <cell r="C442" t="str">
            <v>" Currently, the world is facing a devastating pandemic of a novel coronavirus, which started as an outbreak of pneumonia of unknown cause in Wuhan city of China in December of 2019. According to the recent report of the World Health Organization (WHO), 210 countries convicted badly 1.8 million infections and almost 200,000 causalities. Due to the non-availability of the vaccination, delay strategies such as community distancing, travel restrictions, extension in breaks, use of face-mask, and self-quarantine are the effective treatments to control the pandemic of coronavirus. So, we proposed the delayed susceptible-exposed-infected-recovered model with a nonlinear incidence rate to study the effective role of control strategies. For this analysis, we discussed three types of equilibria of the model such as trivial, coronavirus free, and coronavirus existence with delay terms. The local and global stabilities are investigated by using well-posed notations like the Lasalle invariance principle, Routhâ€“Hurwitz criterion, and Lyapunov function. In the end, some useful replications are presented. "</v>
          </cell>
          <cell r="E442" t="str">
            <v>MATHEMATICS, INTERDISCIPLINARY APPLICATIONS|MULTIDISCIPLINARY SCIENCES</v>
          </cell>
          <cell r="F442" t="str">
            <v>Coronavirus Delayed Model,Reproduction Dynamics,Stability,Simulations</v>
          </cell>
          <cell r="H442" t="str">
            <v>Q1</v>
          </cell>
        </row>
        <row r="443">
          <cell r="B443" t="str">
            <v>10.1142/S0218348X22401958</v>
          </cell>
          <cell r="C443" t="str">
            <v>" A nonclassical model known as the guava model with the conformable derivative describing the interaction of guava pests and natural enemies is studied in this paper. To this end, first the Adamsâ€“Bashforthâ€“Moulton predictorâ€“corrector (ABM-PC) scheme is adopted to numerically solve the guava model with the conformable derivative such that its performance is examined using the finite-difference (FD) method. The truncation error of the ABM-PC scheme is then presented in a detailed way. The effect of the order of the conformable derivative on the dynamical characteristics of guava pests and natural enemies is investigated by considering a series of graphical representations. In the end, based on the results given in this study, it is shown which day is more beneficial to harvest the guava. "</v>
          </cell>
          <cell r="E443" t="str">
            <v>MATHEMATICS, INTERDISCIPLINARY APPLICATIONS|MULTIDISCIPLINARY SCIENCES</v>
          </cell>
          <cell r="F443" t="str">
            <v>Guava Model,Conformable Derivative,Adams-Bashforth-Moulton Predictor-Corrector Scheme,Finite Difference Method,Numerical Solution</v>
          </cell>
          <cell r="H443" t="str">
            <v>Q1</v>
          </cell>
        </row>
        <row r="444">
          <cell r="B444" t="str">
            <v>10.1142/S0218348X23400467</v>
          </cell>
          <cell r="C444" t="str">
            <v>"In this paper, we study a nonlinear mathematical model which addresses the transmission dynamics of COVID-19. The considered model consists of susceptible ([Formula: see text]), exposed ([Formula: see text]), infected ([Formula: see text]), and recovered ([Formula: see text]) individuals. For simplicity, the model is abbreviated as [Formula: see text]. Immigration rates of two kinds are involved in susceptible and infected individuals. First of all, the model is formulated. Then via classical analysis, we investigate its local and global stability by using the Jacobian matrix and Lyapunov function method. Further, the fundamental reproduction number [Formula: see text] is computed for the said model. Then, we simulate the model through the Rungeâ€“Kutta method of order two abbreviated as RK2. Finally, we switch over to the fractional order model and investigate its numerical simulations corresponding to different fractional orders by using the fractional order version of the aforementioned numerical method. Finally, graphical presentations are given for the approximate solution of various compartments of the proposed model. Also, a comparison with real data has been shown."</v>
          </cell>
          <cell r="E444" t="str">
            <v>MATHEMATICS, INTERDISCIPLINARY APPLICATIONS|MULTIDISCIPLINARY SCIENCES</v>
          </cell>
          <cell r="F444" t="str">
            <v>Dynamical System,The Basic Reproduction Number,Global Stability,Lyapunov Function,Fractional Order RK2 Method</v>
          </cell>
          <cell r="H444" t="str">
            <v>Q1</v>
          </cell>
        </row>
        <row r="445">
          <cell r="B445" t="str">
            <v>10.1142/S0218488521020025</v>
          </cell>
          <cell r="C445" t="str">
            <v>" Artificial Intelligence (AI) and Data Analytics play a crucial role in building a digitalized society that is ethical and inclusive. AI is a simulation that is trained to learn and mimic human behaviour. These AI algorithms are capable of learning from their mistakes and doing tasks that are comparable to those performed by humans. AI will have a significant impact on our quality of life as it develops. The main aim of any tool and approach is to simplify human effort and aid us in making better decisions. Data Analytics helps in analyzing raw data in order to draw inferences from it. These techniques and processes have been automated in order to deal with raw data, which is intended for human consumption. The combination of both these techniques will help humans to evolve further in field of research and will enhance the decision making processâ€¦ "</v>
          </cell>
          <cell r="E445" t="str">
            <v>COMPUTER SCIENCE, ARTIFICIAL INTELLIGENCE</v>
          </cell>
          <cell r="H445" t="str">
            <v>Q4</v>
          </cell>
        </row>
        <row r="446">
          <cell r="B446" t="str">
            <v>10.1142/S0219622021500267</v>
          </cell>
          <cell r="C446" t="str">
            <v>" Various fuzzy sets have been developed in the recent years to model the uncertainty in judgments. Spherical fuzzy set (SFS) concept is one of these developments. It can provide an extensive preference domain for decision-makers by allowing them to state their hesitancy more explicitly. The peculiarity of SFS is that the squared sum of membership, nonmembership, and hesitancy degrees should be between 0 and 1 while each is independently defined in [0, 1]. In this study, ARAS as one of the most applied multiple attribute decision-making approaches is extended into a spherical fuzzy environment. Entropy-based and OWA operator-based objective attribute weights are also integrated with the newly proposed spherical fuzzy ARAS for coping with the drawbacks of subjective weighting such as longer data collection time and manipulation risk. The applicability of the proposition is shown in a hypothetical example of a product design problem and its robustness is shown by a comparative analysis. "</v>
          </cell>
          <cell r="E446" t="str">
            <v>COMPUTER SCIENCE, ARTIFICIAL INTELLIGENCE|COMPUTER SCIENCE, INFORMATION SYSTEMS|COMPUTER SCIENCE, INTERDISCIPLINARY APPLICATIONS|OPERATIONS RESEARCH &amp; MANAGEMENT SCIENCE</v>
          </cell>
          <cell r="F446" t="str">
            <v>Spherical fuzzy sets,ARAS,linguistic assessment,objective weighting,entropy,OWA</v>
          </cell>
          <cell r="H446" t="str">
            <v>Q2</v>
          </cell>
        </row>
        <row r="447">
          <cell r="B447" t="str">
            <v>10.1142/S021962202250002X</v>
          </cell>
          <cell r="C447" t="str">
            <v>" Scientific explorations and research in the Antarctic region have specific issues which need to be handled with special measures. Clothing of the scientists is one of the main problems. The clothes are expected to be enduring against compelling conditions and they must have certain features to ensure the safety and comfort of the scientists. Polar clothing is a field that is yet to be studied with different engineering approaches. To generate a better understanding, the polar clothing can be approached as a multiple criteria decision-making problem because many criteria such as layer number, material type, and waterproofness should be considered while evaluating the various alternatives. In this evaluation, expert judgments are used because no strict objective rules determine the conditions of the polar clothing. Also, possible influences among these criteria should be revealed and considered while reaching a decision. In order to deal with the uncertainty and vagueness of the expert judgments, this study proposes a Pythagorean fuzzy version of DEMATEL which is one of the well-known multiple criteria decision-making tools with the aim of evaluating the related selection attributes affecting the decision and searching for the potential influences among them. Since Pythagorean fuzzy sets provide a wider preference domain to the experts, this version was developed as a contribution to the literature. Also, the decision process is kept Pythagorean fuzzy until a conclusion is reached so that there is no early defuzzification problem. The methodâ€™s application on overcoat selection for the Antarctic region reveals the relations among attributes, such as â€œWater Vapor Permeabilityâ€, â€œAll-Weather Protectionâ€ and â€œPerforming Best in Dry/Wet Stateâ€. A sensitivity analysis is conducted to find the changes in influences. "</v>
          </cell>
          <cell r="E447" t="str">
            <v>COMPUTER SCIENCE, ARTIFICIAL INTELLIGENCE|COMPUTER SCIENCE, INFORMATION SYSTEMS|COMPUTER SCIENCE, INTERDISCIPLINARY APPLICATIONS|OPERATIONS RESEARCH &amp; MANAGEMENT SCIENCE</v>
          </cell>
          <cell r="F447" t="str">
            <v>Antarctic clothing,overcoat,comfort,Pythagorean fuzzy sets,DEMATEL</v>
          </cell>
          <cell r="H447" t="str">
            <v>Q2</v>
          </cell>
        </row>
        <row r="448">
          <cell r="B448" t="str">
            <v>10.1142/S1793005721500010</v>
          </cell>
          <cell r="C448" t="str">
            <v>" This paper is devoted to obtain an analytical solution for first-order fuzzy differential equations and system of fuzzy differential equations by different methods by considering the type of generalized Hukuhara differentiability of a solution and without embedding them to crisp equations. Moreover, the fuzzy solutions of a second-order fuzzy differential equation by considering the type of differentiability are obtained using reduction to a system of fuzzy differential equations. The effectiveness and efficiency of the approaches are illustrated by solving several practical examples such as Newtonâ€™s law of cooling, the mathematical models for the distribution of a drug in the human body and the fuzzy forced harmonic oscillator problem. "</v>
          </cell>
          <cell r="E448" t="str">
            <v>MATHEMATICS, INTERDISCIPLINARY APPLICATIONS</v>
          </cell>
          <cell r="F448" t="str">
            <v>First-order fuzzy differential equation,system of first-order fuzzy differential equation,generalized Hukuhara differentiability,Newton's law of cooling,the mathematical models for the distribution of a drug,the fuzzy forced harmonic oscillator problem</v>
          </cell>
          <cell r="H448" t="str">
            <v>Q4</v>
          </cell>
        </row>
        <row r="449">
          <cell r="B449" t="str">
            <v>10.1142/S1793005721500022</v>
          </cell>
          <cell r="C449" t="str">
            <v>" In this paper, a method for solving Riccati fuzzy differential equations is studied in great detail. To obtain the solution of Riccati fuzzy differential equations (RFDEs), we study the fuzzy differential equations (FDEs) using the concept of generalized [Formula: see text]-differentiability. "</v>
          </cell>
          <cell r="E449" t="str">
            <v>MATHEMATICS, INTERDISCIPLINARY APPLICATIONS</v>
          </cell>
          <cell r="F449" t="str">
            <v>LR fuzzy number,parametric fuzzy number,Hakuhara-difference,Riccati fuzzy differential equation,generalized H-differentiability</v>
          </cell>
          <cell r="H449" t="str">
            <v>Q4</v>
          </cell>
        </row>
        <row r="450">
          <cell r="B450" t="str">
            <v>10.1142/S1793005721500034</v>
          </cell>
          <cell r="C450" t="str">
            <v>" In this paper, at first, we introduce fractional differential equations with [Formula: see text]-valuation. Then, we propose a numerical method to approximate the solution. The proposed method is a hybrid method based on the corrected fractional Eulerâ€™s method and the probability distribution function. Moreover, the corrected fractional Eulerâ€™s method based on the generalized Taylor formula and the modified trapezoidal rule is proposed that this method can be used in the problemsâ€™ limitation section of the [Formula: see text]-fractional Initial value problem of order [Formula: see text] with the fuzzy Caputo fractional differential (fractional derivatives are defined on the basis of the Hukuhara differences and the generalized fuzzy derivatives). The probability function is based on exponential distribution function and used to represent the reliability of the problem limitation part. Finally, by two examples, we show that the proposed method can arbitrarily approximate the fractional differential equations with [Formula: see text]-valuation. "</v>
          </cell>
          <cell r="E450" t="str">
            <v>MATHEMATICS, INTERDISCIPLINARY APPLICATIONS</v>
          </cell>
          <cell r="F450" t="str">
            <v>Z-number,fractional differential equations,fraction problem with initial value,Hukuhara differences with fuzzy derivatives of the Caputo type,exponential distribution function</v>
          </cell>
          <cell r="H450" t="str">
            <v>Q4</v>
          </cell>
        </row>
        <row r="451">
          <cell r="B451" t="str">
            <v>10.1142/S1793005721500046</v>
          </cell>
          <cell r="C451" t="str">
            <v>" In this paper, a solution scheme for a class of Fuzzy Fractional Optimal Control Problems (FFOCPs) in Caputo sense is presented using the Legendre basis functions. The control variable will be found so that it minimizes a quadratic performance function. Having the Eulerâ€“Lagrange equations for FFOCP and using the distance function, the problem is divided into a couple of parts which are solved in a system of equations and the approximate numerical solution of the equations is obtained. Through two examples, one time invariant and the other time varying, the numerical solutions are presented to show the applicability of the proposed method. Numerical results show that both the state and control variables converge at the end of the intended interval. "</v>
          </cell>
          <cell r="E451" t="str">
            <v>MATHEMATICS, INTERDISCIPLINARY APPLICATIONS</v>
          </cell>
          <cell r="F451" t="str">
            <v>Fuzzy fractional caputo derivative,Fuzzy fractional optimal control problem,Legendre basis function,Euler-Lagrange equations</v>
          </cell>
          <cell r="H451" t="str">
            <v>Q4</v>
          </cell>
        </row>
        <row r="452">
          <cell r="B452" t="str">
            <v>10.1142/S1793005721500083</v>
          </cell>
          <cell r="C452" t="str">
            <v>" In this paper, we analyze the reliability of fuzzy system (particularly, series and parallel system) with independent and non-identically distributed components using the new operations of TA [F. Abbasi, T. Allahviranloo and S. Abbasbandy, A new attitude coupled with fuzzy thinking to fuzzy rings and fields, Journal of Intelligent and Fuzzy Systems 29 (2015) 851â€“861.] due to the smaller results support, easier calculations and special properties than operations based on the extension principle (in the domain of the membership function) and the interval arithmetic (in the domain of the [Formula: see text]-cuts). we propose the new fuzzy arithmetic operations based on transmission average(TA) on LR type flat fuzzy numbers. In the proposed formulae, LR type flat fuzzy numbers are not restricted to have the same [Formula: see text] and [Formula: see text] shape functions. This allows arithmetic operator for arithmetic involving LR type flat fuzzy numbers of different and general shape. Finally, an imprecise failure to start of an automobile is considered in fuzzy environment. The reliability of components of the proposed model is considered as LR type flat fuzzy numbers. "</v>
          </cell>
          <cell r="E452" t="str">
            <v>MATHEMATICS, INTERDISCIPLINARY APPLICATIONS</v>
          </cell>
          <cell r="F452" t="str">
            <v>LR type flat fuzzy number,extension principle (EP),transmission average (TA),reliability analysis,fault tree analysis</v>
          </cell>
          <cell r="H452" t="str">
            <v>Q4</v>
          </cell>
        </row>
        <row r="453">
          <cell r="B453" t="str">
            <v>10.1142/S1793005721500332</v>
          </cell>
          <cell r="C453" t="str">
            <v>" The estimation of various components in science always faces with errors and inaccuracies that are presented in the form of an uncertainty in identifying the considered components. This uncertainty can be represented in different shapes, one of which is the representation of estimated components in the form of fuzzy numbers. In a situation where a shortage of information or ambiguity in the studied system can be seen, fuzzy numbers can be used to express the ambiguity available in the components. In this study, we will introduce new approach for the formation of type-2 fuzzy numbers in which the mean and standard deviations of data are used to determine the uncertainty zone. Finally, with proposed type-2 fuzzy numbers, in proportion to any situation we have, we face with the claims related to the mean and assess with the subject of the statistical hypothesis test with fuzzy approach. "</v>
          </cell>
          <cell r="E453" t="str">
            <v>MATHEMATICS, INTERDISCIPLINARY APPLICATIONS</v>
          </cell>
          <cell r="F453" t="str">
            <v>Statistical data,type-2 fuzzy numbers,fuzzy mean,testing statistical hypotheses</v>
          </cell>
          <cell r="H453" t="str">
            <v>Q4</v>
          </cell>
        </row>
        <row r="454">
          <cell r="B454" t="str">
            <v>10.1142/S1793005722500144</v>
          </cell>
          <cell r="C454" t="str">
            <v>" The aim of this paper is to utilize the fuzzy fractional generalized Taylor series for fuzzy fractional impulsive differential equations (FFIDE) with uncertainty in the sense for generalized Hukuhara differentiability. Then, for the FFIDE, the modified fuzzy fractional Euler technique (MFFET) is presented following the fuzzy fractional generalized Taylor series and its local and global truncation errors are defined. Furthermore, the consistency, convergence, and stability for this MFFET are provided in detail. The illustrative examples show that the above technique, owing to its usefulness and efficiency, is used for solving [Formula: see text]th-order nonlinear FFIDES. "</v>
          </cell>
          <cell r="E454" t="str">
            <v>MATHEMATICS, INTERDISCIPLINARY APPLICATIONS</v>
          </cell>
          <cell r="F454" t="str">
            <v>Modified fuzzy fractional Euler method,fractional fuzzy impulsive differential,generalized Hukuhara differentiability,local truncation,global truncation</v>
          </cell>
          <cell r="H454" t="str">
            <v>Q4</v>
          </cell>
        </row>
        <row r="455">
          <cell r="B455" t="str">
            <v>10.1142/S1793005722500326</v>
          </cell>
          <cell r="C455" t="str">
            <v>" This research introduces a new definition of fuzzy fractional derivative, fuzzy conformable fractional derivative, which is defined based on generalized Hukuhara differentiability. Namely, we investigate the Hybrid fuzzy fractional differential equation with the fuzzy conformable fractional generalized Hukuhara derivative. We establish that the Hybrid fuzzy fractional differential equation admits two fuzzy triangular solutions and prove that these fuzzy solutions are obtained together with a characterization of these solutions by two systems of fractional differential equations. We propose an adaptable numerical scheme for the approximation of the fuzzy triangular solutions. Numerical results reveal that the numerical method is convenient for solving the Hybrid fuzzy conformable fractional differential equation. "</v>
          </cell>
          <cell r="E455" t="str">
            <v>MATHEMATICS, INTERDISCIPLINARY APPLICATIONS</v>
          </cell>
          <cell r="F455" t="str">
            <v>Generalized Hukuhara conformable fractional derivative,hybrid fuzzy conformable fractional differential equation,Muntz-Legendre wavelet method</v>
          </cell>
          <cell r="H455" t="str">
            <v>Q4</v>
          </cell>
        </row>
        <row r="456">
          <cell r="B456" t="str">
            <v>10.1142/S1793962321500239</v>
          </cell>
          <cell r="C456" t="str">
            <v>"The main purpose of this paper is to explore the influence of predation on the spread of a disease developed in the prey population where we assume that the prey has a social behavior. The memory of the prey and the predator measured by the time fractional derivative plays a crucial role in modeling the dynamical response in a predatorâ€“prey interaction. This memory can be modeled to articulate the involvement of interacting species by the presence of the time fractional derivative in the considered models. For the purpose of studying the complex dynamics generated by the presence of infection and the time-fractional-derivative we split our study into two cases. The first one is devoted to study the effect of a non-selective hunting on the spread of the disease, where the local stability of the equilibria is investigated. Further the backward bifurcation is obtained concerning basic reproduction rate of the infection. The second case is for explaining the impact of selecting the weakest infected prey on the edge of the herd by a predator on the prevalence of the infection, where the local behavior is scrutinized. Moreover, for the graphical representation part, a numerical simulation scheme has been achieved using the Caputo fractional derivative operator."</v>
          </cell>
          <cell r="E456" t="str">
            <v>COMPUTER SCIENCE, THEORY &amp; METHODS</v>
          </cell>
          <cell r="F456" t="str">
            <v>Predator-prey model,herd behavior,fractional derivative,numerical schema,backward bifurcation,eco-epidemiological model</v>
          </cell>
          <cell r="H456" t="str">
            <v>Q3</v>
          </cell>
        </row>
        <row r="457">
          <cell r="B457" t="str">
            <v>10.1142/S2010495222500191</v>
          </cell>
          <cell r="C457" t="str">
            <v>" Stock indices are key indicators of the economy since they indicate the strength of a countryâ€™s stock market. For this reason, causality, information flow and co-movement analysis of stock indices gain importance in comparing countriesâ€™ economies. Here, we apply a novel approach by analyzing the results of two different methodologies; in wavelet coherence (WTC) analysis, the co-movement between stock indices provided and coherent areas can be shown, and information flow is indicated for five-year periods, especially on coherent zones by Transfer Entropy (TE), which detects cause-and-effect relations. This paper analyzed the information flow and co-movement among FTSE100 in the United Kingdom, the DAX in Germany and S&amp;P500 Index in the United States stock indices. Three different results are obtained as follows: (1) DAX is on the leading side in general for five-year periods, (2) bidirectional information flows arise for every pair in the coherent periods and (3) TE-guided WTC analysis shows that TE sign change can be explained by phase angle direction obtained with WTC. These results indicate that both the methods yield proper outcomes in coherent time zones and during financial crisis like the COVID period, which we have faced for two years; for this reason, the results were also obtained for the COVID period, and in general, that shows DAX dominated other indices. We published this study to help researchers understand the connectedness between stock indices and investors avoiding risk in their stock portfolios, especially during financial crisis periods. "</v>
          </cell>
          <cell r="E457" t="str">
            <v>ECONOMICS</v>
          </cell>
          <cell r="F457" t="str">
            <v>Co-movement,wavelet transform,transfer entropy,information flow,causality,stock</v>
          </cell>
          <cell r="H457" t="str">
            <v>Q1</v>
          </cell>
        </row>
        <row r="458">
          <cell r="B458" t="str">
            <v>10.1149/1945-7111/ac9d6a</v>
          </cell>
          <cell r="C458" t="str">
            <v>"\n The formation of dendritic microstructures during electrodeposition is a complex process depending on several physical/chemical parameters. Here, we establish an analytical framework for tracking the one-dimensional dendritic interface based on the asynchronous developments in the concentration C and the electric potential V . Comparing the dynamics of the interface versus the ions, we establish linearized forms of the concentration C and the electric potential V during the quasi-steady-state evolution. Subsequently, we investigate the potentiostatic (V0) and galvanostatic (i0) conditions, where we have analytically attained the dependent parameters (i or V ) and justified their respective variations in the binary electrolyte. Consequently, we have quantified the role of original concentration C0, the inter-electrode potential V0, the electrolyte diffusivity D, and the inter-electrode separation l on the value and growth rate of the dendritic interface. In particular, for the given infinitesimal dendritic growth, we have shown a higher efficacy for the electromigration than the diffusion, especially during the instigation period of the electrodeposition."</v>
          </cell>
          <cell r="E458" t="str">
            <v>ELECTROCHEMISTRY|MATERIALS SCIENCE, COATINGS &amp; FILMS</v>
          </cell>
          <cell r="F458" t="str">
            <v>Dendrites,Analytical,Concentration,Potential,Steady-state</v>
          </cell>
          <cell r="H458" t="str">
            <v>Q2</v>
          </cell>
        </row>
        <row r="459">
          <cell r="B459" t="str">
            <v>10.1149/2162-8777/ac4c7f</v>
          </cell>
          <cell r="C459" t="str">
            <v>"Inorganic-organic Schottky contacts based on Gelatin on n-Si wafer have been prepared by a spin coating technique. The reverse and forward bias capacitance-voltage (\n\n\n\nC\nâ€\nV\n\n\n) and conductance-voltage (\n\n\n\nG\nâ€\nV\n\n\n) properties of the Al/Gelatin/n-Si Schottky diode at room temperature in the frequency range from 30 kHz to 1 MHz have been computed by taking into account the series resistance (\n\n\n\n\n\nR\n\n\ns\n\n\n\n\n) and interface states (\n\n\n\n\n\nD\n\n\nit\n\n\n\n\n) effects. The conductance and Hill-Coleman method were used to determine interfacial layer capacitance (\n\n\n\n\n\nC\n\n\nin\n\n\n\n\n), \n\n\n\n\n\nR\n\n\ns\n\n\n\n\n and \n\n\n\n\n\nD\n\n\ni\nt\n\n\n.\n\n\n The values of \n\n\n\n\n\nR\n\n\ns\n\n\n\n\n and \n\n\n\n\n\nD\n\n\nit\n\n\n\n\n were determined as 810 Î© and 1.52 xâˆ’1012 eVâˆ’1 cmâˆ’2 for 30 kHz and 38 Î© and 3.38 x 1011 eVâˆ’1 cmâˆ’2 for 1 MHz. Experimental results corroborated that the \n\n\n\n\n\nR\n\n\ns\n\n\n\n\n and \n\n\n\n\n\nD\n\n\nit\n\n\n\n\n are influential parameters which severely impact the basic electrical parameters of Al/Gelatin/n-Si Schottky diode. Both the measured capacitance (\n\n\n\n\n\nC\n\n\nm\n\n\n\n\n) and conductance (\n\n\n\n\n\nG\n\n\nm\n\n\n\n\n) were corrected in order to obtain the real diode capacitance (\n\n\n\n\n\nC\n\n\nc\n\n\n\n\n) and conductance (\n\n\n\n\n\nG\n\n\nc\n\n\n\n\n). Schottky diode parameters such as barrier height (\n\n\n\n\n\nÎ¦\n\n\nB\n\n\n\n\n), ionized donor density (\n\n\n\n\n\nN\n\n\nD\n\n\n\n\n), Fermi level (\n\n\n\n\n\nE\n\n\nF\n\n\n\n\n), built-in voltage (\n\n\n\n\n\nV\n\n\nD\n\n\n\n\n) were extracted from the frequency-dependent \n\n\n\n\n\nC\n\n\nc\n\n\nâ€\nV\n\n\n and \n\n\n\n1\n/\n\n\nC\n\n\nc\n\n\n2\n\n\nâ€\nV\n\n\n relations. The values of \n\n\n\n\n\nÎ¦\n\n\nB\n\n\n\n\n was determined as 0.796 eV for 30 kHz and 1.090 eV for 1 MHz. The \n\n\n\n\n\nR\n\n\ns\n\n\n\n\n and \n\n\n\n\n\nD\n\n\nit\n\n\n\n\n values were observed to decrease, while the \n\n\n\n\n\nÎ¦\n\n\nB\n\n\n\n\n values increase as the frequency increases. Results reveal that the fabricated diode can potentially be used as a promising candidate material for electronics applications."</v>
          </cell>
          <cell r="E459" t="str">
            <v>MATERIALS SCIENCE, MULTIDISCIPLINARY|PHYSICS, APPLIED</v>
          </cell>
          <cell r="H459" t="str">
            <v>Q3</v>
          </cell>
        </row>
        <row r="460">
          <cell r="B460" t="str">
            <v>10.1155/2021/6649657</v>
          </cell>
          <cell r="C460" t="str">
            <v>"A 45-year-old male presented to the clinic of ophthalmology with central retinal artery occlusion (CRAO). There was no response to medical treatment, ocular massage, and anterior chamber paracentesis. CRAO was resolved by pars plana vitrectomy and intraoperative cycling pressure variation. The best-corrected visual acuity improved to 20/100 on the first day and to 20/20 on the first month, postoperatively."</v>
          </cell>
          <cell r="E460" t="str">
            <v>OPHTHALMOLOGY</v>
          </cell>
          <cell r="H460" t="str">
            <v>Q4</v>
          </cell>
        </row>
        <row r="461">
          <cell r="B461" t="str">
            <v>10.1155/2021/8840689</v>
          </cell>
          <cell r="C461" t="str">
            <v>"Aim. To investigate the change in subfoveal choroidal thickness (SFCT) in vitrectomized eyes with intravitreal dexamethasone (IVD) implant injection for the treatment of diabetic macular edema (DME). Method. In this prospective and controlled study, the vitrectomized eyes of diabetic patients were included. The study group (Group 1) was formed by diabetic vitrectomized eyes with DME. The control group (Group 2) was formed by diabetic vitrectomized eyes without DME. Only one intravitreal IVD implant was injected into the eyes in Group 1. In the first, second, and fourth months, choroidal layers were measured by optical coherence tomography and complete ophthalmologic examinations were performed for all cases. Results. Ninety-six eyes of 96 cases were included in the study. There were 48 eyes of 48 different patients in each group. After IVD injection, statistically significant improvement was observed in the best corrected visual acuity in Group 1. The mean SFCT in eyes with DME was statistically significantly thinner (\n\np\n\nâ€‰&lt;â€‰0.01) and thinness became more pronounced during the four-month follow-up period after IVD implant injection (\n\np\n\nâ€‰&lt;â€‰0.01). Conclusion. In the presence of DME in vitrectomized eyes, the thinness of the SFCT may become evident after dexamethasone implant injection."</v>
          </cell>
          <cell r="E461" t="str">
            <v>OPHTHALMOLOGY</v>
          </cell>
          <cell r="H461" t="str">
            <v>Q3</v>
          </cell>
        </row>
        <row r="462">
          <cell r="B462" t="str">
            <v>10.1155/2021/8856990</v>
          </cell>
          <cell r="C462" t="str">
            <v>"Today, regarding the rapid growth of Information and Communications Technology (ICT), e-commerce, and the subsequent expansion of electronic banking, the banking market structure is also expected to dramatically be changed. This paper aims to explore the main effect of electronic banking on the structure of the Iranian banking industry by investigating the banking market concentration degree. To accomplish this aim, an intelligent hybrid model is developed based on multilayer perceptron neural network and fuzzy regression of the effects of banking on the relative electronic share of banks. In the developed method, the neural network parameters such as weights and errors have been considered as the fuzzy parameters to model it under uncertainty. Ultimately, the descriptive statistics are utilized to evaluate how the difference in relative size of banks concerning e-banking has changed, in addition to exploring the main effect of e-banking on the bankâ€™s contribution described as a neural network-fuzzy regression model. Moreover, it shows how the concentration degree in the Iranian banking sector has been reduced. The implemented analysis of the reasons for this decrease reveals that the share of banks has decreased due to an increase in the share of the small banks. Furthermore, model estimation confirms that there exists a positive relationship between banksâ€™ share and the use of electronic banking. Besides, the small banks have strongly been shown to utilize the e-banking so that it would lead to an increase in their share and a decrease in the concentration degree. As such, it can be concluded that e-banking has reduced the concentration degree in Iran. The descriptive statistics are employed to prove it."</v>
          </cell>
          <cell r="E462" t="str">
            <v>COMPUTER SCIENCE, ARTIFICIAL INTELLIGENCE|MATHEMATICS, APPLIED</v>
          </cell>
          <cell r="H462" t="str">
            <v>Q2</v>
          </cell>
        </row>
        <row r="463">
          <cell r="B463" t="str">
            <v>10.1155/2022/5374419</v>
          </cell>
          <cell r="C463" t="str">
            <v>"Background. The plateletâ€toâ€lymphocyte ratio (PLR) and neutrophilâ€toâ€lymphocyte ratio (NLR) reflect the patient inflammatory and immunity status. We investigated the role of onâ€admission PLR and NLR in predicting massive transfusion protocol (MTP) activation and mortality following abdominal trauma. Methods. A 4â€year retrospective analysis of all adult abdominal trauma patients was conducted. Patients were classified into survivors and nonsurvivors and low vs. high PLR. The discriminatory power for PLR and NLR to predict MTP and mortality was determined. Multivariate logistic regression analysis was performed for predictors of mortality. Results. A total of 1199 abdominal trauma patients were included (18.7% of all the trauma admissions). Low PLR was associated with more severe injuries and greater rates of hospital complications including mortality in comparison to high PLR. Onâ€admission PLR and NLR were higher in the survivors than in nonsurvivors (149.3 vs. 76.3 (p = 0.001) and 19.1 vs. 13.7 (p = 0.009), respectively). Only PLR significantly correlated with injury severity score, revised trauma score, TRISS, serum lactate, shock index, and FASILA score. Optimal cutoffs of PLR and NLR for predicting mortality were 98.5 and 18.5, respectively. The sensitivity and specificity of PLR were 81.3% and 61.1%, respectively, and 61.3% and 51.3%, respectively, for NLR. The AUROC for predicting MTP was 0.69 (95% CI: 0.655â€“0.743) for PLR and 0.55 (95% CI: 0.510â€“0.598) for NLR. To predict hospital mortality, the area under the curve (AUROC) for PLR was 0.77 (95% CI: 0.712â€“0.825) and 0.59 (95% CI: 0.529â€“0.650) for the NLR. On multivariate logistic regression analysis, the age, Glasgow Coma Scale, sepsis, injury severity score, and PLR were independent predictors of mortality. Conclusion. Onâ€admission PLR but not NLR helps early risk stratification and timely management and predicts mortality in abdominal trauma patients. Further prospective studies are required."</v>
          </cell>
          <cell r="E463" t="str">
            <v>BIOTECHNOLOGY &amp; APPLIED MICROBIOLOGY|MEDICINE, RESEARCH &amp; EXPERIMENTAL</v>
          </cell>
          <cell r="H463" t="str">
            <v>Q3</v>
          </cell>
        </row>
        <row r="464">
          <cell r="B464" t="str">
            <v>10.1155/2022/8148298</v>
          </cell>
          <cell r="C464" t="str">
            <v>"Objective. Even for very successful peripheral revascularization therapy, treatment is not complete until the ulcerative, gangrenous, and infected wound is closed. This study was performed and compared the outcomes of vacuum-assisted closure (VAC) and maggot debridement therapy (MDT) following peripheral revascularization to accelerate the wound healing process. Methods. We did a prospective randomized clinical trial between January 1, 2014, and June 21, 2019. This study included 72 patients (63 males and nine females). Balloon angioplasty was performed in 21 patients (29.2%), peripheral bypass in 39 (54.2%), and both balloon angioplasty and revascularization (hybrid) surgery in 12 (16.7%). Thirty-three patients (45.8%) received 15 VAC therapy sessions for a month. Therapy progress was monitored at 48â€‰h intervals, and wound debridement was performed. Thirty-nine patients (54.2%) received an average of six larval therapy sessions for a month. Groups were compared with the X2 test, and a statistically significant difference was found (\n\nP\n&lt;\n0.001\n\n). Results. In the VAC therapy group (nâ€‰=â€‰33), 14 patients (42.4%) had their feet amputated, 5 (15.1%) had a toe amputated, and 4 (12.1%) had all of their toes amputated. A skin graft was performed on four patients (12.1%) who developed granulation tissue. The wounds of six patients (18.2%) undergoing VAC therapy healed. In the larval therapy group (nâ€‰=â€‰39), the wounds healed in 36 patients (92.3%), and 3 (7.7%) had a toe amputated. Conclusion. Larval therapy was shown to be more effective than VAC therapy for the treatment of postrevascularization ischemic wounds. Thus, larval therapy can be used as an effective biological treatment method when major amputation is not required."</v>
          </cell>
          <cell r="E464" t="str">
            <v>INTEGRATIVE &amp; COMPLEMENTARY MEDICINE</v>
          </cell>
          <cell r="H464" t="str">
            <v>Q3</v>
          </cell>
        </row>
        <row r="465">
          <cell r="B465" t="str">
            <v>10.1159/000521211</v>
          </cell>
          <cell r="C465" t="str">
            <v>"&lt;b&gt;&lt;i&gt;Background:&lt;/i&gt;&lt;/b&gt; The use of unmanipulated haploidentical hematopoietic stem cell transplantations (haplo-HSCT) with post-transplant cyclophosphamide (PTCY) in children has emerged as an acceptable alternative to the patients without a matched donor. However, the timing of calcineurin inhibitors (CNIs) used in combination with PTCY is increasingly becoming a topic of controversy. &lt;b&gt;&lt;i&gt;Method:&lt;/i&gt;&lt;/b&gt; We evaluated 49 children with acute leukemia who underwent unmanipulated haplo-HSCT with PTCY according to the initiation day of CNIs (pre- or post-cyclophosphamide [CY]). &lt;b&gt;&lt;i&gt;Results:&lt;/i&gt;&lt;/b&gt; There were no significant differences in the overall survival analysis between the 2 groups. The cumulative incidence of relapse at 2 years was 21.2% in the pre-CY group and 38.9% in the post-CY group (&lt;i&gt;p&lt;/i&gt; = 0.33). Cytokine release syndrome (CRS) was observed more frequently in the post-CY group (&lt;i&gt;p&lt;/i&gt; = 0.04). The overall survival and event-free survival at 2 years in patients with and without CRS in the pre-CY group were 42.9% versus 87.5% (&lt;i&gt;p&lt;/i&gt; = 0.04) and 38.1% versus 87.5% (&lt;i&gt;p&lt;/i&gt; = 0.04), respectively. &lt;b&gt;&lt;i&gt;Conclusion:&lt;/i&gt;&lt;/b&gt; Our study shows that the argument for starting CNI administration after CY is tenuous, and the rationale for not starting CNIs before CY needs to be reconsidered. "</v>
          </cell>
          <cell r="E465" t="str">
            <v>HEMATOLOGY</v>
          </cell>
          <cell r="F465" t="str">
            <v>Children,Cyclophosphamide,Calcineurin inhibitors,Haploidentical,Acute leukemia,Cytokine release syndrome</v>
          </cell>
          <cell r="H465" t="str">
            <v>Q3</v>
          </cell>
        </row>
        <row r="466">
          <cell r="B466" t="str">
            <v>10.1159/000524446</v>
          </cell>
          <cell r="C466" t="str">
            <v>"&lt;b&gt;&lt;i&gt;Purpose:&lt;/i&gt;&lt;/b&gt; Patients with locally advanced breast cancer (LABC) should be treated with neoadjuvant chemotherapy (NAC). Pathological complete response (pCR) is related to better disease-free survival (DFS). The best strategy for assessing the efficacy of NAC has not been established yet, but several studies have shown that 18F-FDG PET/CT is a potential imaging tool for assessing pCR. The aim of this study is to investigate the merits of 18F-FDG PET/CT imaging in predicting pCR in both axillary and breast tissue and to establish a threshold maximum standard uptake value (SUVmax) for predicting the response after completion of NAC. &lt;b&gt;&lt;i&gt;Methods:&lt;/i&gt;&lt;/b&gt; A total of 186 LABC patients, treated with an NAC regimen according to tumor subtype, were retrospectively analyzed in this study. All patients underwent 18F-FDG PET/CT imaging before and after completion of NAC. PET parameters were measured in the most FDG avid breast tissue and axillary lymph nodes. We analyzed the correlation between the tumor SUVmax of the PET/CT response and the pCR after surgery. DFS was also evaluated with respect to pCR. &lt;b&gt;&lt;i&gt;Results:&lt;/i&gt;&lt;/b&gt; Higher pCR rates were significantly associated with a higher tumor grade, an initial Ki-67 â‰¥20% (&lt;i&gt;p&lt;/i&gt; = 0.03 and &lt;i&gt;p&lt;/i&gt; = 0.003, respectively), a triple-negative subtype (32.9%), and a human epidermal growth factor receptor 2 (HER-2)-positive subtype (24.7%) (&lt;i&gt;p&lt;/i&gt; &amp;#x3c; 0.001). There was a significant correlation between the pCR and a complete response in 18F-FDG PET/CT (&lt;i&gt;p&lt;/i&gt; &amp;#x3c; 0.001). The overall sensitivity, specificity, accuracy, positive predictive value, and negative predictive value of 18F-FDG PET/CT to determine the pCR after NAC were 100%, 72.2%, 85%, 75.2%, and 100%, respectively. We demonstrated a 1.1 cutoff SUVmax for breast tumors after NAC (OR: 3.94, 95% CI: 1.14â€“5.05, &lt;i&gt;p&lt;/i&gt; = 0.004), the 18F-FDG PET/CT response to NAC (OR: 0.50, 95% CI: 0.25â€“0.99, &lt;i&gt;p&lt;/i&gt; = 0.003), and the molecular subtype of breast tumors (OR: 0.58, 95% CI: 0.38â€“0.88, &lt;i&gt;p&lt;/i&gt; = 0.011). &lt;b&gt;&lt;i&gt;Conclusion:&lt;/i&gt;&lt;/b&gt; Our results confirm that 18F-FDG PET/CT is a useful method for predicting the NAC response in LABC. "</v>
          </cell>
          <cell r="E466" t="str">
            <v>OBSTETRICS &amp; GYNECOLOGY|ONCOLOGY</v>
          </cell>
          <cell r="F466" t="str">
            <v>Neoadjuvant chemotherapy,18F-FDG PET,CT,Prognostic factors,Survival,Breast cancer</v>
          </cell>
          <cell r="H466" t="str">
            <v>Q4</v>
          </cell>
        </row>
        <row r="467">
          <cell r="B467" t="str">
            <v>10.1177/00033197211045021</v>
          </cell>
          <cell r="C467" t="str">
            <v>" Corrected thrombolysis in myocardial infarction frame count (cTFC) is an objective, simple, and reproducible method to assess coronary blood flow which is a surrogate for cardiovascular outcomes. It is important to learn which factors are associated with cTFC. The goal of this study was to determine predictive models for epicardial blood flow assessed by cTFC and develop a diagnostic predictive model that indicates the individualized assessment of epicardial blood flow prior to primary percutaneous coronary intervention. This is a retrospective study including 3205 patients with ST-segment elevation myocardial infarction who underwent pPCI. The primary outcome was cTFC. Multivariable linear regression analysis was performed. Subsequently, a nomogram was developed to predict cTFC according to the candidate predictors. Median age was 58; the number of male patients was 2381 (74.3%). Median value of cTFC was 22 and interquartile range (IQR): 16.5â€“28.0). Age, diabetes mellitus (DM), total ischemic time, systolic blood pressure (SBP), heart rate (HR), and history of statin use remained in both full and reduced models. Our model may potentially allow clinicians to identify patients at high risk for impaired epicardial perfusion. "</v>
          </cell>
          <cell r="E467" t="str">
            <v>PERIPHERAL VASCULAR DISEASE</v>
          </cell>
          <cell r="F467" t="str">
            <v>prediction model,thrombolysis in myocardial infarction frame count,ST-elevation myocardial infarction</v>
          </cell>
          <cell r="H467" t="str">
            <v>Q3</v>
          </cell>
        </row>
        <row r="468">
          <cell r="B468" t="str">
            <v>10.1177/00033197211066362</v>
          </cell>
          <cell r="C468" t="str">
            <v>"Several studies have shown that high uric acid (UA) and low serum albumin (SA) values increase the risk of cardiovascular disease and mortality in ST-elevation myocardial infarction (STEMI). We determined whether the uric acid/albumin ratio (UAR) is a predictor of mortality in STEMI patients. All patients who presented at our center with a diagnosis of STEMI and underwent percutaneous intervention from 2015 to 2020 were screened consecutively; 4599 patients were included. A Cox proportional hazards model was used to evaluate UAR, and adjusted predictors obtained from laboratory findings and clinical characteristics contributed to mortality. Also, a regression model was presented with a directed acyclic graph (DAG). The median age of the patients was 58Â years (IQR [interquartile range]: 50â€“67); 3581 patients (77.9%) were male. The incidence of mortality in the entire patient group was 11.9%. Median follow-up duration of all groups was 42Â months. Multivariate Cox proportional regression (model-1) analysis showed age (increase 50 to 67Â years; HR [hazard ratio]: 1.34, 95% CI 1.18â€“1.52) and UAR (increase 1.15â€“1.73; HR: 1.33, 95% CI 1.16â€“1.52) were associated with mortality. UAR may be a prognostic factor for mortality in STEMI patients and an easily accessible parameter to identify high-risk patients."</v>
          </cell>
          <cell r="E468" t="str">
            <v>PERIPHERAL VASCULAR DISEASE</v>
          </cell>
          <cell r="F468" t="str">
            <v>uric acid,albumin ratio,ST-elevation myocardial infarction,mortality,uric acid,albumin</v>
          </cell>
          <cell r="H468" t="str">
            <v>Q3</v>
          </cell>
        </row>
        <row r="469">
          <cell r="B469" t="str">
            <v>10.1177/00033197221089423</v>
          </cell>
          <cell r="C469" t="str">
            <v>" There is a lack of evidence regarding the short-term predictive value of serum albumin to creatinine ratio (sACR) in patients with ST-segment elevation myocardial infarction (STEMI). This study aims to investigate the relationship between sACR and short-term outcomes in these patients. We retrospectively enrolled 3057 patients with STEMI who underwent primary percutaneous coronary interventions (PCI) (median age was 58Â years, and 74.3% were male). In-hospital mortality occurred in 114 (3.7%) patients. Contrast-induced nephropathy (CIN) was reported in 381 (12.4%) patients. During a 30-day follow-up, stent thrombosis (ST) occurred in 28 (.9%) patients and 30-day death in 147 (4.8%) patients. Multivariable logistic regression analysis reported that sACR was inversely associated with 30-day mortality (adjusted odds ratio (aOR): .51, 95% confidence interval (CI) .31â€“.82, P &lt; .001). The sACR was also inversely associated with in-hospital mortality (aOR: .71, 95% CI .56â€“.90, P = .009), CIN (aOR: .60, 95% CI .52â€“.68, P &lt; .001), congestive heart failure (CHF) (aOR: .64, 95% CI .47â€“.87, P = .007), and ST (aOR .61, 95% CI .41â€“.92, P = .001) at 30 days. Our findings suggest that sACR is inversely associated with short-term clinical outcomes in patients with STEMI after PCI. "</v>
          </cell>
          <cell r="E469" t="str">
            <v>PERIPHERAL VASCULAR DISEASE</v>
          </cell>
          <cell r="F469" t="str">
            <v>albumin,creatinine,prognosis,myocardial infarction,serum albumin-creatinine ratio</v>
          </cell>
          <cell r="H469" t="str">
            <v>Q3</v>
          </cell>
        </row>
        <row r="470">
          <cell r="B470" t="str">
            <v>10.1177/00033197231161903</v>
          </cell>
          <cell r="C470" t="str">
            <v>" The Naples score is a new prognostic score developed according to inflammatory and nutritional status and frequently evaluated in cancer patients. The present study aimed to evaluate using the Naples prognostic score (NPS) to predict the development of decreased left ventricular ejection fraction (LVEF) after acute ST-segment elevation myocardial infarction (STEMI). The study has a multicenter and retrospective design and included 2280 patients with STEMI who underwent primary percutaneous coronary intervention (pPCI) between 2017 and 2022. All participants were divided into 2 groups according to their NPS. The relationship between these 2 groups and LVEF was evaluated. The low-Naples risk group (Group-1) included 799 patients, and the high-Naples risk group (Group-2) had 1481 patients. Hospital mortality, shock, and no-reflow rates were found to be higher in Group 2 compared with Group 1 ( P &lt; .001, P = .032, P = .004). The NPS was significantly inversely associated with discharge LVEF (B coefficient: âˆ’1.51, 95% CI-2.26; âˆ’.76, P = .001). NPS, a simple and easily calculated risk score, may help identify high-risk STEMI patients. To the best of our knowledge, the present study is the first to demonstrate the relationship between low LVEF and NPS in patients with STEMI. "</v>
          </cell>
          <cell r="E470" t="str">
            <v>PERIPHERAL VASCULAR DISEASE</v>
          </cell>
          <cell r="F470" t="str">
            <v>Naples score,ST-segment elevation myocardial infarction,left ventricular ejection fraction</v>
          </cell>
          <cell r="H470" t="str">
            <v>Q3</v>
          </cell>
        </row>
        <row r="471">
          <cell r="B471" t="str">
            <v>10.1177/00033197231161922</v>
          </cell>
          <cell r="C471" t="str">
            <v>" The purpose of this investigation was to investigate whether there was an association between the Naples prognostic score and the development of acute kidney injury (AKI) in ST-elevation myocardial infarction (STEMI) patients following primary percutaneous coronary intervention (pPCI). The study comprised 2901 consecutive STEMI patients who had pPCI. For each patient, the Naples prognostic score was determined. To evaluate the predictive performance of the Naples score (which included either continuous and categorical variables), we developed a Nested model and a nested model combined with the Naples score. The Naples prognostic score was the most significant predictor of AKI occurrence after admission creatinine, age, and contrast volume. The continuous Naples prognostic score model provided the best prediction performance and discriminative ability. The C-index of the Nested and full models with continuous Naples prognostic score were significantly higher than that of the Nested model. The decision curve analysis found that the overall model had a higher full range of probability of clinical net benefit than the baseline model, with a 10% AKI likelihood. The present study found that the Naples prognostic score may be useful to predict the risk of AKI in STEMI patients undergoing pPCI. "</v>
          </cell>
          <cell r="E471" t="str">
            <v>PERIPHERAL VASCULAR DISEASE</v>
          </cell>
          <cell r="F471" t="str">
            <v>Naples prognostic score,acute kidney injury,ST-elevation myocardial infarction</v>
          </cell>
          <cell r="H471" t="str">
            <v>Q3</v>
          </cell>
        </row>
        <row r="472">
          <cell r="B472" t="str">
            <v>10.1177/00113921221129318</v>
          </cell>
          <cell r="C472" t="str">
            <v>"This article aims to shed light on the gender dynamics in the context of performing emotional labor in Turkish call centers. Based on qualitative interviews, this study aimed to illuminate how gender is done and undone, providing a perspective on the relationship between gender and emotional labor in call centers, a highly gendered and interactional line of work. Gender relations are complex and gender performativity in call center work allows us to observe different ways in which employees do and undo gender. This study reveals that female employees are more inclined to undo gender and display competence as a work strategy to elevate their position, whereas male employees struggle between job demands and adhering to masculine norms."</v>
          </cell>
          <cell r="E472" t="str">
            <v>SOCIOLOGY</v>
          </cell>
          <cell r="F472" t="str">
            <v>Doing gender,emotional labor,gender,performativity,undoing gender</v>
          </cell>
          <cell r="H472" t="str">
            <v>Q2</v>
          </cell>
        </row>
        <row r="473">
          <cell r="B473" t="str">
            <v>10.1177/00220221211072813</v>
          </cell>
          <cell r="C473" t="str">
            <v>" In Western countries, recent decades have witnessed a revolution toward gender equality. Inequalities have been greatly reduced in areas such as education or employment. Because inequalities lead to distress, this development has largely benefited women. One notable exception is the realm of parenting, which has remained rife with inequalities even in the most egalitarian countries. We hypothesized that experiencing inequality in parenting when one holds egalitarian values and raising a child in a country characterized by a high level of gender equality in other areas, increases mothersâ€™ psychological distress in the specific area of parenting. Multilevel modeling analyses computed among 11,538 mothers from 40 countries confirmed this prediction: high egalitarian values at the individual level and high gender equality at the societal level are associated with higher burnout levels in mothers. The associations hold beyond differences in sociodemographic characteristics at the individual level and beyond economic disparities at the societal level. These findings show the importance of egalitarian values and gender equality and their paradoxical effect when inequalities are still present in specific areas as parenting. This study reveals the crucial need to act not only at the micro level but also at the macro level to promote gender equality in parenting and prevent parental burnout. "</v>
          </cell>
          <cell r="E473" t="str">
            <v>PSYCHOLOGY, SOCIAL</v>
          </cell>
          <cell r="F473" t="str">
            <v>egalitarian values,gender equality paradox,culture,parental burnout,family policies</v>
          </cell>
          <cell r="H473" t="str">
            <v>Q2</v>
          </cell>
        </row>
        <row r="474">
          <cell r="B474" t="str">
            <v>10.1177/00220221221123043</v>
          </cell>
          <cell r="C474" t="str">
            <v>" What is it to be â€œan ideal parentâ€? Does the answer differ across countries and social classes? To answer these questions in a way that minimizes bias and ethnocentrism, we used open-ended questions to explore ideal-parent beliefs among 8,357 mothers and 3,517 fathers from 37 countries. Leximancer Semantic Network Analysis was utilized to first determine parenting culture zones (i.e., countries with shared ideal-parent beliefs) and then extract the predominant themes and concepts in each culture zone. The results yielded specific types of ideal-parent beliefs in five parenting culture zones: being â€œresponsible and children/family-focusedâ€ for Asian parents, being â€œresponsible and proper demeanor-focusedâ€ for African parents, and being â€œloving and responsibleâ€ for Hispanic-Italian parents. Although the most important themes and concepts were the same in the final two zonesâ€”being â€œloving and patient,â€ there were subtle differences: English-speaking, European Union, and Russian parents emphasized â€œbeing caring,â€ while French-speaking parents valued â€œlisteningâ€ or being â€œpresent.â€ Ideal-parent beliefs also differed by education levels within culture zones, but no general pattern was discerned across culture zones. These findings suggest that the country in which parents were born cannot fully explain their differences in ideal-parent beliefs and that differences arising from social class or education level cannot be dismissed. Future research should consider how these differences affect the validity of the measurements in question and how they can be incorporated into parenting intervention research within and across cultures. "</v>
          </cell>
          <cell r="E474" t="str">
            <v>PSYCHOLOGY, SOCIAL</v>
          </cell>
          <cell r="F474" t="str">
            <v>parental beliefs,automated content analysis,positive parenting,qualitative and quantitative methods,semantic network analysis</v>
          </cell>
          <cell r="H474" t="str">
            <v>Q2</v>
          </cell>
        </row>
        <row r="475">
          <cell r="B475" t="str">
            <v>10.1177/00220574211016420</v>
          </cell>
          <cell r="C475" t="str">
            <v>" Teachersâ€™ instructional practices are among the most crucial components of a successful educational setting to equip students with essential knowledge and skills apart from increasing the effectiveness of instruction. The purpose of this study is to examine teachersâ€™ views and contentment about their instructional practices regarding the quality of instruction. The study was carried out through basic qualitative research design. Qualitative research is conducted with an aim to uncover facts about individualsâ€™ experiences, perceptions, and perspectives toward a particular phenomenon. The participants of the study were 201 teachers, working in different grades and majors. Of the participants, 58% ( n = 116) were female and 42% ( n = 85) were male. The data collection tools included an electronic opinion form and focus group interview. The collected data were analyzed through content analysis. Findings of the study indicated that professional development activities and innovative implementations made teachers happy regarding their instructional practices. Second, teachers felt unhappy when they disregarded studentsâ€™ individual differences. Third, teachersâ€™ instructional goals were related to improving their content knowledge and technological competencies. They needed administrative support and time to achieve their instructional goals. In the light of the findings of the study, it is significant that observable and measurable professional development activities should be defined to increase the quality of teaching and student learning, as well as ensuring the implementation of new teaching skills. "</v>
          </cell>
          <cell r="E475" t="str">
            <v>EDUCATION &amp; EDUCATIONAL RESEARCH</v>
          </cell>
          <cell r="F475" t="str">
            <v>instructional quality,instructional practice,teachers' happiness,qualitative</v>
          </cell>
          <cell r="H475" t="str">
            <v>Q3</v>
          </cell>
        </row>
        <row r="476">
          <cell r="B476" t="str">
            <v>10.1177/00302228211065963</v>
          </cell>
          <cell r="C476" t="str">
            <v>" This study examined nursesâ€™ attitudes towards death, anxiety levels, and socio-demographic characteristics affecting their attitudes towards death. Three hundred and eighty-four nurses participated in the study. A questionnaire form, the Death Attitude Profile-Revised (DAP-R), and the Penn State Worry Questionnaire were applied to the nurses. Nursesâ€™ attitudes towards death were positive and their level of fear of death was low. Approach acceptance was high in younger ones; the escape acceptance score was higher in single ones. The neutral acceptance score was higher in those who received training on death. A statistically significant positive correlation was found between nurses' anxiety level and escape acceptance score. There was a statistically significant positive correlation between the length of working years of nurses and the escape acceptance and approach acceptance. Nurses should be prepared for and supported on death with in-service training. It will be useful to provide these training programs to nursing students during their education process. "</v>
          </cell>
          <cell r="E476" t="str">
            <v>PSYCHOLOGY, MULTIDISCIPLINARY|SOCIAL SCIENCES, BIOMEDICAL</v>
          </cell>
          <cell r="F476" t="str">
            <v>death anxiety,attitudes,death,dying,nurses attitudes,death education,death attitudes</v>
          </cell>
          <cell r="H476" t="str">
            <v>Q3</v>
          </cell>
        </row>
        <row r="477">
          <cell r="B477" t="str">
            <v>10.1177/00332941211018776</v>
          </cell>
          <cell r="C477" t="str">
            <v>" Retrieval Induced Forgetting (RIF) demonstrates that retrieval of information can lead to forgetting of related information. The standard RIF paradigm involves studying a certain number of category-exemplar pairs; thereafter, half of the exemplars from half of the categories are retrieved. Finally, all studied pairs are recalled. RIF is revealed when unretrieved exemplars from the retrieved categories are more poorly recalled than exemplars from the unretrieved categories. One explanation for RIF asserts that inhibition prevents interference from the exemplars of the same category during the interpolated retrieval practice phase, which leads to forgetting of these items at final recall. An ongoing debate concerns whether this inhibition requires executive control or whether it is automatic. If inhibition in RIF involves executive control, then a task that will exhaust this limited capacity should reduce or eliminate the RIF effect. The effects of concurrent tasks during the retrieval practice phase have been shown to reduce or eliminate RIF, however, to our knowledge, the effects of prior tasks on RIF has not been investigated. In the present study, in one condition, we conducted an exhaustive inhibition task before the retrieval practice phase and compared this condition to the one in which the prior task was non-exhaustive. Results showed that the RIF effect was eliminated when the prior task was exhaustive. The results supported the executive control view for the inhibition mechanism behind RIF and further showed that exhaustion of the executive control capacity can impair inhibition in subsequent tasks. "</v>
          </cell>
          <cell r="E477" t="str">
            <v>PSYCHOLOGY, MULTIDISCIPLINARY</v>
          </cell>
          <cell r="F477" t="str">
            <v>retrieval induced forgetting,cognitive exhaustion,inhibition,retrieval,executive control</v>
          </cell>
          <cell r="H477" t="str">
            <v>Q3</v>
          </cell>
        </row>
        <row r="478">
          <cell r="B478" t="str">
            <v>10.1177/00332941211061077</v>
          </cell>
          <cell r="C478" t="str">
            <v>" Building on the Relational Motivation Theory, the present research argues that relational motivations (RM) underlie both the regulation and the moral judgment of socially (un)responsive Covid-19 behaviors (e.g., physical distancing) and links these two via moral identity. We hypothesize that different types of socially unresponsive behaviors are judged morally wrong through perceptions of RM violations and that a stronger concern for unity predicts the extent to which individuals self-report to perform socially responsive Covid-19 behaviors. Additionally, the role of moral identity as an individual-level moderator variable linking perceptions about RM violation to the practice of Covid-19 responsible behaviors is explored. The results support the predictions with data collected from participants living in Turkey and the USA. In both cultures, socially unresponsive Covid-19 behaviors of others were judged morally wrong through RMs, plus individualsâ€™ general concern for unity predicted their self-reported socially responsive Covid-19 behaviors. Additionally, for the sample from Turkey, results revealed that the general concern for unity was positively associated with self-reported tendencies to perform Covid-19 socially responsive behaviors only among individuals with a low or moderate moral identity, but not when moral identity was high. "</v>
          </cell>
          <cell r="E478" t="str">
            <v>PSYCHOLOGY, MULTIDISCIPLINARY</v>
          </cell>
          <cell r="F478" t="str">
            <v>Covid-19,relational motivations,moral wrongness,prosocial behavior,unity,culture</v>
          </cell>
          <cell r="H478" t="str">
            <v>Q3</v>
          </cell>
        </row>
        <row r="479">
          <cell r="B479" t="str">
            <v>10.1177/00494755211019603</v>
          </cell>
          <cell r="C479" t="str">
            <v>" Leprosy is an ancient ailment, also known as Hansenâ€™s disease. It primarily involves the superficial peripheral nerves, skin, upper respiratory tract mucosa, eyes, bones and testicles, but not the lungs. Although leprosy patients are not included in the study area of pulmonology, here we present an undiagnosed leprosy patient with a history of smoking, who was referred owing to upper respiratory tract symptoms and bilateral pleural effusions. From this undiagnosed case, we would like to draw specific attention of pulmonologists, since a patient with leprosy can present in this way due to hypoalbuminemia resulting from a systemic inflammatory state, which may then progress to sepsis. Collaboration of different specialists may be required to clinch extra-neurological and extra-cutaneous features of leprosy. "</v>
          </cell>
          <cell r="E479" t="str">
            <v>PUBLIC, ENVIRONMENTAL &amp; OCCUPATIONAL HEALTH|TROPICAL MEDICINE</v>
          </cell>
          <cell r="F479" t="str">
            <v>Leprosy,Mycobacterium leprae,pulmonology,chest diseases</v>
          </cell>
          <cell r="H479" t="str">
            <v>Q4</v>
          </cell>
        </row>
        <row r="480">
          <cell r="B480" t="str">
            <v>10.1177/0145561320931213</v>
          </cell>
          <cell r="C480" t="str">
            <v>"Purpose: Precise knowledge of the level of the vocal fold as projected on the external thyroid cartilage is of critical importance for the performance of many surgical approaches. This study aims to identify the level of the anterior commissure, as well as the lengths of the vocal muscle and arytenoid cartilage in Turkish population. Materials and Method: Specimens were collected after autopsy from the Council of Forensic Medicine. One hundred human larynges (52 men, 48 women; age range: 25-80 years) were dissected under a stereomicroscope. Projection of the vocal fold was analyzed in relation to the superior thyroid (A) and the inferior border of the thyroid cartilage (B). Then, the larynx was dissected parallel to the level of the vocal fold to measure the length of the vocal muscle (C) and the length of the interarytenoid space (D). Results: The mean value of the â€œaâ€ was 9.15 Â± 1.99 mm in male and 9.38 Â± 3.43 mm in female. Mean value of the â€œbâ€ was 10.54 Â± 1.73 mm and 8.88 Â± 1.81 mm in male and female, respectively. The mean value of the parameter corresponding the length of vocal muscle which was â€œcâ€ was found 15.00 Â± 3.18 mm in male and 12.88 Â± 4.12 mm in female. The mean value of the interarytenoid space â€œdâ€ was 8.31 Â± 1.76 mm in male and 8.13 Â± 1.90 mm in female. Comparing between genders, no statistical differences were observed in parameters of a, c, d, a + b, a + b/2 ( P &gt; .05). However, the difference with female and male for the parameters of b and c + d was statistically significant ( P &lt; .05). Conclusion: Our results indicate that the anterior commissure projects slightly above the midline height for male and at the level to slightly below in female subjects in Turkish population. "</v>
          </cell>
          <cell r="E480" t="str">
            <v>OTORHINOLARYNGOLOGY</v>
          </cell>
          <cell r="F480" t="str">
            <v>vocal fold,larynx dimensions,endolarynx,phonosurgery,anterior commissure</v>
          </cell>
          <cell r="H480" t="str">
            <v>Q4</v>
          </cell>
        </row>
        <row r="481">
          <cell r="B481" t="str">
            <v>10.1177/0163443720986002</v>
          </cell>
          <cell r="C481" t="str">
            <v>" This article explores the relationship between connective and collective group identity through the example of â€œYou Wonâ€™t Walk Alone,â€ a social media platform of solidarity for women suffering from the pressures of Islamic dress code in Turkey. While Turkey has a long history of conservative womenâ€™s initiatives against secular institutional code and of secular women against Islamic and misogynist social reactions, the social media platform You Wonâ€™t Walk Alone (YalnÄ±z YÃ¼rÃ¼meyeceksin) illustrates a striking self-reflexivity of women mobilizing against their very own conservative communities. The research is based on multimodal content analysis of the posts including both images and texts in order to grasp to what extent social media offers a genuine public space for anonymous participants of the online platform as opposed to digitally networked movements which primarily reflect personalized agency. We analyze how connective and collective group identity can be correlated in this case in which online participants build solidarity by sharing content anonymously. Hence, this article questions the ways in which activist design of communication affects and shapes activism through this case study. "</v>
          </cell>
          <cell r="E481" t="str">
            <v>COMMUNICATION|SOCIOLOGY</v>
          </cell>
          <cell r="F481" t="str">
            <v>visual communication design,digitally networked action,connective action,headscarf,Islamic dress code,#yalnizyurumeyeceksin,Turkey,Feminist movement,activist media,Muslim women</v>
          </cell>
          <cell r="H481" t="str">
            <v>Q1</v>
          </cell>
        </row>
        <row r="482">
          <cell r="B482" t="str">
            <v>10.1177/0192513X221126749</v>
          </cell>
          <cell r="C482" t="str">
            <v>" This study compares targeted fathersâ€™ beliefs in a just world with the beliefs of fathers who were divorced but not alienated from their children. Forty-two targeted fathers and 38 non-targeted fathers completed an online survey consisting of sociodemographic questions, the General Belief in a Just World Scale and Personal Belief in a Just World Scale. Targeted fathers reported lower beliefs in a just world than non-targeted fathers. Targeted fathers who reported that mental health and legal professionals have sufficient knowledge of parental alienation had higher belief in a just world scores than targeted parents who believed professionals have insufficient knowledge. "</v>
          </cell>
          <cell r="E482" t="str">
            <v>FAMILY STUDIES</v>
          </cell>
          <cell r="F482" t="str">
            <v>parental alienation,targeted parent,targeted father,alienated father,belief in a just world</v>
          </cell>
          <cell r="H482" t="str">
            <v>Q3</v>
          </cell>
        </row>
        <row r="483">
          <cell r="B483" t="str">
            <v>10.1177/02601060221136357</v>
          </cell>
          <cell r="C483" t="str">
            <v>" Background: The relationship between diet, inflammation and mental health has been receiving increasing interest. However, limited data are available on the inflammatory role of diet in university students, among whom depression is commonly observed. Aim: The aim of our study is to investigate the relationship between dietary inflammatory index (DII) and depression among female students of nutrition and dietetics department, whom we assume to be conscious about health. Methods: DII scores were determined by averaging the 3-day dietary records. Depression status of the students was determined by using Beck Depression Inventory (BDI). Results: Our study was conducted with 122 female university students. The mean total BDI score of the students in the first tertile (more anti-inflammatory effect) was found significantly lower than those of the students in the second and third tertiles ( pâ€‰=â€‰0.001). In addition, there were no significant difference between the depression scores of the students and their grade level ( pâ€‰=â€‰0.114) and place of residence ( pâ€‰=â€‰0.866). We found a positive association between DII and depressive symptoms (Model 1, Bâ€‰=â€‰0.512, %95 CI: 0.236â€“0.789, pâ€‰=â€‰0.000). This relationship was also found when adjusting for age, weight, body mass index, smoking status, and presence of chronic disease (Model 2, Bâ€‰=â€‰0.496, %95 CI: 0.217â€“0.776, pâ€‰=â€‰0.006; Model 3, Bâ€‰=â€‰0.493, %95 CI: 0.210â€“0.777, pâ€‰=â€‰0.024. Conclusion: Supporting that the inflammatory burden of diet is associated with mental health, our findings are of significance for the development of anti-inflammatory nutritional approaches among students who are prone to depression. "</v>
          </cell>
          <cell r="E483" t="str">
            <v>NUTRITION &amp; DIETETICS</v>
          </cell>
          <cell r="F483" t="str">
            <v>Depression,inflammation,dietary inflammatory index,university student,nutrition</v>
          </cell>
          <cell r="H483" t="str">
            <v>Q3</v>
          </cell>
        </row>
        <row r="484">
          <cell r="B484" t="str">
            <v>10.1177/02646196231175327</v>
          </cell>
          <cell r="C484" t="str">
            <v>" Inclusive education strives to support all students, regardless of their differences, so no child is left behind. However, some teachers, especially those in high schools, may oppose inclusive education. This study aimed to examine the experiences and actions of high school mathematics teachers as they taught students with visual impairments to understand the challenges they faced and how these affected their willingness to embrace the inclusion of these students. Researchers conducted semi-structured interviews with eight mathematics teachers experienced in teaching students with visual impairments. The findings were organized into five themes: mathematics teaching practices, curriculum, material preparation, assessment practices, and beliefs about inclusive education and students with visual impairments. The results revealed that while mathematics teachers were conscious of not being adequately equipped to implement inclusive education, those with strong teaching efficacy beliefs were more inclined to teach rigorous mathematics to students with visual impairments. "</v>
          </cell>
          <cell r="E484" t="str">
            <v>OPHTHALMOLOGY</v>
          </cell>
          <cell r="F484" t="str">
            <v>Inclusive education,mathematics teachers,students with visual impairments</v>
          </cell>
          <cell r="H484" t="str">
            <v>Q4</v>
          </cell>
        </row>
        <row r="485">
          <cell r="B485" t="str">
            <v>10.1177/02697580221080006</v>
          </cell>
          <cell r="C485" t="str">
            <v>" This article presents the first research to address the impact of crime on citizens who suffer crime during a vacation. Based on a small sample of US residents victimised while visiting five different countries, and drawn from a crowdsourcing platform, it is, essentially exploratory. However, the findings suggest that tourist victims are severely affected by their experiences and that this impacts their feelings about revisiting the country where the offence occurred. Most victims reported receiving support from both formal and informal sources, but at the same time most said they would have appreciated more support. While more research is needed to build on this study, the findings do underline the need for a greater focus on both crime reduction and harm minimisation. "</v>
          </cell>
          <cell r="E485" t="str">
            <v>CRIMINOLOGY &amp; PENOLOGY</v>
          </cell>
          <cell r="F485" t="str">
            <v>Victim impact,tourist victims,victim assistance,support for victims,evaluation of services,tourism policies</v>
          </cell>
          <cell r="H485" t="str">
            <v>Q2</v>
          </cell>
        </row>
        <row r="486">
          <cell r="B486" t="str">
            <v>10.1177/02697580231218020</v>
          </cell>
          <cell r="C486" t="str">
            <v>" Past studies have highlighted the importance of studying the fear of crime among international students. Interestingly, though, most of this research has been in developed societies and has not directly compared international and indigenous/national students. To fill this gap, the current study aims to examine the determinants of fear of crime among domestic and international students in Turkey. Drawing upon a survey of 377 international students and 579 national university students studying in Istanbul, Turkey, during the Fall 2019 semester, the study finds that international students mostly feared being cheated or â€˜connedâ€™. In contrast, for the domestic students the threat from physical attack was of most concern. The results also indicate that among all gender groups for international and domestic students, female international students reported higher levels of fear of crime than all other sub-groups. "</v>
          </cell>
          <cell r="E486" t="str">
            <v>CRIMINOLOGY &amp; PENOLOGY</v>
          </cell>
          <cell r="F486" t="str">
            <v>International university students,fear of crime,Turkey,physical incivilities,social incivilities</v>
          </cell>
          <cell r="H486" t="str">
            <v>Q2</v>
          </cell>
        </row>
        <row r="487">
          <cell r="B487" t="str">
            <v>10.1177/07482337221139586</v>
          </cell>
          <cell r="C487" t="str">
            <v>" It is well-known that wireless communication technologies facilitate human life. However, the harmful effects of electromagnetic field (EMF) radiation on the human body should not be ignored. In the present study, we evaluated the effects of long-term, prenatal exposure to EMF radiation on the myocardium of rats at varying durations. Overall, 18 pregnant Sprague-Dawley rats were assigned into six groups ( n = 3 in each group). In all groups other than the control group, three pregnant rats were exposed to EMF radiation (900, 1800 and 2100Â MHz) for 6, 12 and 24Â h over 20 days. After delivery, the newborn male pups were identified and six newborn male pups from each group were randomly selected. Then, histopathological and biochemical analysis of myocardial samples were performed. When 24-h/day prenatal exposures to 900, 1800, 2100Â MHz EMF radiation were evaluated, myocardial damage was greater in the 2100Â MHz EMF-24h group than the other groups. In addition, when malondialdehyde (MDA) and glutathione (GSH) levels associated with reactive oxidative species (ROS) were evaluated, the MDA level was higher in the 2100Â MHz EMF-24h group compared with the other groups. The GSH level was also lower in the 2100Â MHz EMF-24h group. When the 6, 12 and 24Â h/day prenatal exposures to 1800Â MHz EMF radiation were evaluated, myocardial damage was greater in 1800Â MHz EMF-24h group than the remaining groups ( p &lt; 0.0001). Also, MDA level was greater in the 1800Â MHz EMF-24h group compared with the other groups while the GSH level was lower in this group. It was shown that myocardial tissue was affected more by long-term exposure to EMF radiation at high frequencies. The data raise concerns that the harmful effects of non-ionizing radiation exposure on cardiac tissue will increase with 5G technology. "</v>
          </cell>
          <cell r="E487" t="str">
            <v>PUBLIC, ENVIRONMENTAL &amp; OCCUPATIONAL HEALTH|TOXICOLOGY</v>
          </cell>
          <cell r="F487" t="str">
            <v>electromagnetic field radiation,electromagnetic wave,exposure,myocardial,prenatal</v>
          </cell>
          <cell r="H487" t="str">
            <v>Q4</v>
          </cell>
        </row>
        <row r="488">
          <cell r="B488" t="str">
            <v>10.1177/09579265231195461</v>
          </cell>
          <cell r="C488" t="str">
            <v>" This article examines antisemitism in TÃ¼rkiye within the framework of the new media landscape. The objective of this study is twofold: firstly, to investigate antisemitic discourses on Twitter within the cultural and political context in contemporary TÃ¼rkiye and, secondly, to scrutinize the role of Twitter in this context. The study centers on the tweets and replies of five Turkish-Jewish writers that were collected between 5 November 2021 and 30 January 2022, a period coinciding with the airing of the Netflix original series The Club, during which antisemitic discourses intensified. Finally, this study posits that despite a favorable portrayal of Jewish individuals in the series, the discourse surrounding the historical and political incidents targeting minorities, mainly Jews, that were depicted in the series gave rise to antisemitism. This was expressed on Twitter largely through rhetoric that reinforces the marginalization of the Jewish community in TÃ¼rkiye. "</v>
          </cell>
          <cell r="E488" t="str">
            <v>COMMUNICATION|PSYCHOLOGY, MULTIDISCIPLINARY|SOCIOLOGY</v>
          </cell>
          <cell r="F488" t="str">
            <v>Antisemitism,discourse,Jewish history,Turkish media,Twitter</v>
          </cell>
          <cell r="H488" t="str">
            <v>Q3</v>
          </cell>
        </row>
        <row r="489">
          <cell r="B489" t="str">
            <v>10.1177/09603271221136206</v>
          </cell>
          <cell r="C489" t="str">
            <v>" In this study, we aimed to evaluate possible toxic effects of thimerosal, aluminum and combination of thimerosal and aluminum in SH-SY5Y cells. Inhibitory concentrations were determined by MTT assay; reactive oxygen species (ROS) were determined by a fluorometric kit and antioxidant/oxidant parameters were measured by spectrophotometric kits. Nuclear factor erythroid 2-associated factor 2 (Nrf2), norepinephrine (NE), dopamine transporter (DAT) and dopamine beta Î²-hydroxylase (DBH) levels were measured by sandwich ELISA kits while 8-hydroxy deoxyguanosine (8-OHdG) and dopamine levels were determined by competitive ELISA kits. Thimerosal (1.15Â Î¼M) and aluminum (362Â Î¼M) were applied to cells at inhibitory concentrations 20 (IC20s) for 24 h. ROS increased significantly in cells aluminum- and aluminum+thimerosal-treated cells. Glutathione levels decreased in aluminum group while total antioxidant capacity and protein oxidation levels increased significantly in aluminum and aluminum+thimerosal groups. Lipid peroxidation increased significantly in groups treated with aluminum and aluminum+thimerosal. Nrf2 levels and DNA damage were significantly higher in all groups while dopamine levels significantly increased in cells treated with thimerosal and aluminum+thimerosal, DAT levels were found to be higher in all experimental groups compared to the control. These findings showed that both thimerosal and aluminum can change oxidant/antioxidant status, cause DNA damage, alter dopamine and DAT levels. Changes seen in cells treated with combined exposure to aluminum and thimerosal are more pronounced. Special care should be taken while vaccinating sensitive populations and safer alternatives for aluminum and thimerosal should used. "</v>
          </cell>
          <cell r="E489" t="str">
            <v>TOXICOLOGY</v>
          </cell>
          <cell r="F489" t="str">
            <v>Aluminum,neurotoxicity,oxidative damage,thimerosal,vaccine</v>
          </cell>
          <cell r="H489" t="str">
            <v>Q3</v>
          </cell>
        </row>
        <row r="490">
          <cell r="B490" t="str">
            <v>10.1177/10693971231174551</v>
          </cell>
          <cell r="C490" t="str">
            <v>" Parental burnout (PB) is a pervasive phenomenon. Parenting is embedded in cultural values, and previous research has shown the role of individualism in PB. In this paper, we reanalyze previously collected data to identify profiles based on the four dimensions of PB, and explore whether these profiles vary across countriesâ€™ levels of collectivistic-individualistic (COL-IND) values. Our sample comprised 16,885 individuals from 36 countries (73% women; 27% men), and we used a latent profile approach to uncover PB profiles. The findings showed five profiles: Fulfilled, Not in PB, Low risk of PB, High risk of PB and Burned out. The profiles pointed to climbing levels of PB in the total sample and in each of the three country groups (High COL/Low IND, Medium COL-IND, Low COL/High IND). Exploratory analyses revealed that distinct dimensions of PB had the most prominent roles in the climbing pattern, depending on the countriesâ€™ levels of COL/IND. In particular, we found contrast to be a hallmark dimension and an indicator of severe burnout for individualistic countries. Contrary to our predictions, emotional distance and saturation did not allow a clear differentiation across collectivistic countries. Our findings support several research avenues regarding PB measurement and intervention. "</v>
          </cell>
          <cell r="E490" t="str">
            <v>SOCIAL SCIENCES, INTERDISCIPLINARY</v>
          </cell>
          <cell r="F490" t="str">
            <v>parental burnout,cultural values,individualism,collectivism,latent profile analyses</v>
          </cell>
          <cell r="H490" t="str">
            <v>Q2</v>
          </cell>
        </row>
        <row r="491">
          <cell r="B491" t="str">
            <v>10.1177/10760296211056648</v>
          </cell>
          <cell r="C491" t="str">
            <v>" The progress in the development of various vaccine platforms against SARS-CoV-2 have been rather remarkable owing to advancement in molecular and biologic sciences. Most of the current vaccines and those in development focus on targeting the viral spike proteins by generating antibodies of varying spectrum. These vaccines represent a variety of platforms including whole virus vaccines, viral vector vaccines, nucleic acid vaccines representing RNA, DNA, and their hybrid forms.  The therapeutic efficacy of these vaccines varies owing to their pharmacodynamic individualities. COVID-19 variants are capable of inducing different pathologic responses and some of which may be resistant to antibodies generated by current vaccines. The current clinical use of these vaccines has been through emergency use authorization until recently. Moreover, the efficacy and safety of these vaccines have been tested in substantial numbers of individuals but studies in special populations that better reflect the global population are pending results. These specialized populations include young children, immunocompromised patients, pregnant individuals, and other specialized groups. Combination approaches, molecularly modified vaccination approaches, and vaccines conferring longer periods of immunity are being currently being investigated, as well as pharmacovigilance studies.  The continual transformation of SARS-CoV-2 and its variants are of concern along with the breakthrough infections. These considerations pose new challenges for the development of vaccination platforms. For this purpose, booster doses, combination vaccine approaches, and other modalities are being discussed. This review provides an updated account of currently available vaccines and those in advanced development with reference to their composition and mechanisms of action.  A discussion on the use of vaccines in special populations including immunocompromised patients, pregnant women and other specialized populations are also included. "</v>
          </cell>
          <cell r="E491" t="str">
            <v>HEMATOLOGY|PERIPHERAL VASCULAR DISEASE</v>
          </cell>
          <cell r="F491" t="str">
            <v>COVID-19 vaccines,COVID-19 variants,children and adolescents,pregnancy and lactation,immunocomprimised patients</v>
          </cell>
          <cell r="H491" t="str">
            <v>Q2</v>
          </cell>
        </row>
        <row r="492">
          <cell r="B492" t="str">
            <v>10.1177/10760296221091770</v>
          </cell>
          <cell r="C492" t="str">
            <v>"Introduction Previous studies have shown that inflammation may contribute to the interplay of endogenous glycosaminoglycans (GAGs) and anti-PF4 antibodies. In this study, we quantified the levels of anti-PF4 antibody isotypes and endogenous GAGs together with inflammatory biomarkers in pulmonary embolism (PE) patients to determine whether there is a relationship in between. Identification of this relationship may provide insight to the complex pathophysiology of PE and HIT and may also be useful for development of potential prognostic, diagnostic and therapeutic interventions. Materials and Methods Plasma samples from PE patients (n: 210) were analyzed for anti-PF4 antibody isotypes and various thrombo-inflammatory cytokines utilizing commercially available biochip array and ELISA methods. The endogenous GAG levels in PE patientsâ€™ plasma were quantified using a fluorescence quenching method. The collected data analyzed to demonstrate the relationship between various parameters. Results The endogenous GAG levels were increased in the PE group ( Pâ€‰&lt;â€‰.05). The levels of anti-PF4 antibody isotypes were higher in varying levels in comparison to the normal group ( Pâ€‰&lt;â€‰.05). Inflammatory cytokines have shown varying levels of increase with IL-6, IL-8 and IL-10 showing the most pronounced values. Mortality outcome was related to increased GAGs and some of the cytokines. Conclusion In this study, we demonstrated increased levels of anti-PF4 antibody isotypes, endogenous GAGs, and inflammatory biomarkers in a large patient cohort in PE. The levels of the endogenous GAGs and inflammatory biomarkers were associated with PE severity and mortality. More studies are needed to understand this complex pathophysiology. "</v>
          </cell>
          <cell r="E492" t="str">
            <v>HEMATOLOGY|PERIPHERAL VASCULAR DISEASE</v>
          </cell>
          <cell r="F492" t="str">
            <v>pulmonary embolism,inflammatory biomarkers,glycosaminoglycans,anti-PF4 antibodies,COVID-19</v>
          </cell>
          <cell r="H492" t="str">
            <v>Q2</v>
          </cell>
        </row>
        <row r="493">
          <cell r="B493" t="str">
            <v>10.1177/10760296221104801</v>
          </cell>
          <cell r="C493" t="str">
            <v>"Introduction In this study, we profiled the levels of blood cellular indices, endogenous glycosaminoglycans (GAGs) and inflammatory biomarkers in a cohort comprised of pulmonary embolism (PE) patients, to determine their inter-relationships. Identification of this relationship may provide insight to the complex pathophysiology of PE and the predictive role of blood cellular indices in acute PE patients. Materials and Methods Plasma samples from PE patients and healthy controls were analyzed for thrombo-inflammatory biomarkers (IL-2, IL-4, IL-6, IL-8, IL-10, VEGF, IFN-É£, TNF-Î±, IL-1Î±, IL-1Î², MCP-1, EGF, D-dimer, CRP and MMP-9) using biochip array and ELISA methods. The endogenous GAG levels were quantified using a fluorescence quenching method. The data regarding the blood cellular indices were collected through the review of patient medical records and analyzed to demonstrate their relationship. Results The levels of inflammatory biomarkers and endogenous GAGs were elevated in acute PE patients compared to controls ( Pâ€‰&lt;â€‰.05). Most of the blood cellular indices have shown significant differences in acute PE patients compared to controls ( Pâ€‰&lt;â€‰.05). The levels of inflammatory biomarkers, endogenous GAGs and the blood cellular indices have shown significant associations in correlation and multivariable analysis. While NLR, PLR and SII were significantly predicting the 30-day mortality, PNR, ELR and EMR were not sufficient to predict 30-day mortality in acute PE. Conclusion Our results show that the increased thrombo-inflammatory response is associated with the release of GAGs and the changes in blood cellular indices. The predictive role of the blood cellular indices for mortality is dependent on their relationship with the inflammatory response. "</v>
          </cell>
          <cell r="E493" t="str">
            <v>HEMATOLOGY|PERIPHERAL VASCULAR DISEASE</v>
          </cell>
          <cell r="F493" t="str">
            <v>pulmonary embolism,inflammatory biomarkers,endogenous glycosaminoglycans,blood cellular indices,COVID-19</v>
          </cell>
          <cell r="H493" t="str">
            <v>Q2</v>
          </cell>
        </row>
        <row r="494">
          <cell r="B494" t="str">
            <v>10.1177/13582291211070223</v>
          </cell>
          <cell r="C494" t="str">
            <v>" Despite recent advances in transgender rights in European countries, some legal systems still have barriers such as obligatory diagnosis, sterilization, and medical interventions and incorporating societal acceptance and public order into their discourse. This study dealing with the regime of legal gender recognition in Turkey first reveals critical reciprocating historical developments in national legal regulations for affirming trans identities. Then, the recent conditions laid down by the 2017 Constitutional Court judgments stating that transgender people do not require permanent sterilization any more but require sex reassignment surgery for legal gender change are evaluated. Moreover, this paper explains that while the jurisprudence of the European Court of Human Rights partly reflects the current Turkish legislation, it is not a big step for transgender rights. The findings also underline that the new Turkish regulations appear reformist but are indeed strong measures for legal consistency to solve the dilemma in the previous period in order to maintain the status quo. "</v>
          </cell>
          <cell r="E494" t="str">
            <v>LAW</v>
          </cell>
          <cell r="F494" t="str">
            <v>gender,transgender,discrimination,law,human rights,gender change,Turkey</v>
          </cell>
          <cell r="H494" t="str">
            <v>Q1</v>
          </cell>
        </row>
        <row r="495">
          <cell r="B495" t="str">
            <v>10.1177/13621688231216816</v>
          </cell>
          <cell r="C495" t="str">
            <v>"Despite the growing research on teachersâ€™ identity tensions, the tensions experienced by teacher educators, especially that of in-service teacher educators, remain underexplored. To address this issue, this narrative inquiry investigates the identity tensions of English language teachers who concurrently perform the role of in-service teacher educators. The data consists of semi-structured interviews, narrative frames, and visual documents. The thematic analysis of the findings suggested that the participants experienced tensions at three levels: interpersonal, intrapersonal, and institutional. While coping with these tensions, they developed new interpersonal skills, continued their professional learning, received peer and mentor support, engaged in other communities of practice, and persisted on finding their own ways of developing. The study concludes that although tensions unsettle professional identity development, they might still offer new developmental trajectories and help in-service teacher educators strengthen their identity."</v>
          </cell>
          <cell r="E495" t="str">
            <v>EDUCATION &amp; EDUCATIONAL RESEARCH|LINGUISTICS</v>
          </cell>
          <cell r="F495" t="str">
            <v>identity tensions,in-service teacher educators,language teacher educator identity,narrative inquiry,professional identity development</v>
          </cell>
          <cell r="H495" t="str">
            <v>Q1</v>
          </cell>
        </row>
        <row r="496">
          <cell r="B496" t="str">
            <v>10.1177/1420326X19889991</v>
          </cell>
          <cell r="C496" t="str">
            <v>" In this paper, a common social housing archetype design was studied in order to improve the energy and cost performance. The focus is on evaluating the effects of some parameters of the design of the faÃ§ade in particular: the size of the windows and the optical and thermo-physical properties of the components. The aim is to obtain cost optimal energy efficient scenarios in accordance with the Recast of Energy Performance of Buildings Directive (EPBD Recast) by determining efficient thicknesses of the insulation for the exterior walls and efficient window sizes and types of glazing for each orientation, simultaneously. The parameters of the faÃ§ade are optimized in order to obtain the dominant values and ranges in terms of energy and cost. There are remarkable differences in the dominant options for the thickness of the insulations, as well as the type and size of windows: they depend on whether they have a north, south and eastâ€“west orientation. The decision makers should design each faÃ§ade in dependence on its orientation to determine its optimal optical and thermo-physical properties in terms of its cost and its consumption of energy. A reduction by approximately 5% in the life cycle cost and 17% in the primary energy use was achieved through the optimization of the base case. "</v>
          </cell>
          <cell r="E496" t="str">
            <v>CONSTRUCTION &amp; BUILDING TECHNOLOGY|ENGINEERING, ENVIRONMENTAL|PUBLIC, ENVIRONMENTAL &amp; OCCUPATIONAL HEALTH</v>
          </cell>
          <cell r="F496" t="str">
            <v>Energy efficiency,Social housing design,Life cycle cost,Optimization,Facade parameters</v>
          </cell>
          <cell r="H496" t="str">
            <v>Q2</v>
          </cell>
        </row>
        <row r="497">
          <cell r="B497" t="str">
            <v>10.1177/1420326X221080566</v>
          </cell>
          <cell r="C497" t="str">
            <v>" School environments have a profound effect on pupils. The building envelope, particularly the faÃ§ade, has a significant role in determining thermal, visual, acoustic comfort, energy usage and life-cycle cost as it regulates the relationship between the exterior and the interior. Nonetheless, there is a lack of a multi-perspective approach in the literature, assessing the faÃ§ade as the key feature for achieving the comfort and performance criteria. Therefore, this paper aims at proposing a methodology to determine appropriate facade aperture sizes through examining a primary school classroom case. For the comfort and performance analyses, a typical Turkish primary school classroom was modelled. The aperture size was assumed to vary for the window to wall ratio from 28.54% to 71.34% with seven options. Analysis results revealed that aperture orientation was more important than its size. The smallest aperture was found to be better for visual, acoustic and thermal comfort. The heating setback strategy appeared to be an effective parameter for thermal comfort as much as the aperture size. A multi-criteria decision-making method, modified weighted sum model, was used to assess the results to decide on the appropriate option and also present a methodology that can be used in different cases. "</v>
          </cell>
          <cell r="E497" t="str">
            <v>CONSTRUCTION &amp; BUILDING TECHNOLOGY|ENGINEERING, ENVIRONMENTAL|PUBLIC, ENVIRONMENTAL &amp; OCCUPATIONAL HEALTH</v>
          </cell>
          <cell r="F497" t="str">
            <v>facade design,thermal comfort,visual comfort,acoustic comfort,energy efficiency,life-cycle cost,multi-criteria decision-making</v>
          </cell>
          <cell r="H497" t="str">
            <v>Q2</v>
          </cell>
        </row>
        <row r="498">
          <cell r="B498" t="str">
            <v>10.1177/1466138120924435</v>
          </cell>
          <cell r="C498" t="str">
            <v>" The academic and lay interest towards Turkeyâ€™s Alevi community has so far treated the Alevi man as the ultimate Alevi subject. Gender dynamics in the Alevi communities have been overlooked since it was assumed that Alevi women enjoy equal rights with men as Alevism promotes gender equality. This has left gender dynamics in Alevi communities relatively under-researched. In this article I aim to analyse the construction of an idealised image of Alevi woman through the analysis of 31 semi-structured interviews that I have conducted with women who have administrative roles in various cemevi in Istanbul. In most narratives there is a gap between the actual situation of Alevi women and the idealised Alevi woman; this gap is understood as a result of the patriarchal culture prevalent in the Middle East, the encounters with the Sunni majority and the weakening of Alevi traditionsâ€™ influence on individualsâ€™ daily lives. "</v>
          </cell>
          <cell r="E498" t="str">
            <v>ANTHROPOLOGY|SOCIOLOGY</v>
          </cell>
          <cell r="F498" t="str">
            <v>Gender relations,Alevi women,Alevi organisations,empowerment,gender in organisations</v>
          </cell>
          <cell r="H498" t="str">
            <v>Q3</v>
          </cell>
        </row>
        <row r="499">
          <cell r="B499" t="str">
            <v>10.1177/1467358420948918</v>
          </cell>
          <cell r="C499" t="str">
            <v>"Discourses concerning risk have become increasingly popular among tourism academics. While these cover a wide range of safety and security concerns, there is rather less of a focus on risk from conventional crime than on terrorist threats. In contrast, criminologists have written extensively about the actual and perceived risk of crime. Both tourism academics and criminologists have addressed the question of who is most concerned about crime, but in each case this analysis has focused on questioning people at one point in time. This paper differs in that it compares the perceptions of risk of those arriving on a visit to Istanbul with perceptions of safety among a similar sample of those returning from their trip. In the former case, we consider touristsâ€™ perceptions of risk prior to their arrival. In the latter case, their perceptions of safety after their trip, and the consequences of this for future visits, a key concern within the tourism industry."</v>
          </cell>
          <cell r="E499" t="str">
            <v>HOSPITALITY, LEISURE, SPORT &amp; TOURISM</v>
          </cell>
          <cell r="F499" t="str">
            <v>Risk of crime,perceptions of safety,changing perceptions,future travel plans</v>
          </cell>
          <cell r="H499" t="str">
            <v>Q2</v>
          </cell>
        </row>
        <row r="500">
          <cell r="B500" t="str">
            <v>10.1177/1478929920901954</v>
          </cell>
          <cell r="C500" t="str">
            <v>" This paper studies the sociology of elites and the role of cliques on the foreign policy-making process through an exploratory case study of Turkish Ministry for Foreign Affairs. It identifies elite sociology as the independent variable triggering a policy-making process in the Turkish Ministry for Foreign Affairs in line with organisational process or governmental politic approaches. It shows that until the 1980s, the Turkish Ministry for Foreign Affairs was marked by strong hierarchical tradition triggered by a certain career path and cliqueism leading to the homogeneity in the sociology of elites. This in turn triggered a foreign policy-making process based on organisational process. The role of cliqueism weakened along with the incremental circulation of elites in the post-1980s and particularly in the post-2005 period as the elite structure in the Turkish Ministry for Foreign Affairs became even more heterogeneous, foreign policy-making process moved towards governmental politics which allowed taking into account diverse schools of thought. Nevertheless, newly emerging programmatic elites employed deliberate efforts for elite circulation by altering the dominant career path and relying on political appointments. The resulting outcome was the emergence of a new clique of ruling elites subordinate to political elites which led to the politicisation of the foreign policy decision-making process in the post-2011 period. "</v>
          </cell>
          <cell r="E500" t="str">
            <v>POLITICAL SCIENCE</v>
          </cell>
          <cell r="F500" t="str">
            <v>sociology of elites,elite circulation,diplomacy,foreign policy,organisational process,governmental politics,Turkey</v>
          </cell>
          <cell r="H500" t="str">
            <v>Q2</v>
          </cell>
        </row>
        <row r="501">
          <cell r="B501" t="str">
            <v>10.1177/15347346231171436</v>
          </cell>
          <cell r="C501" t="str">
            <v>" This study aimed to evaluate the effect of educational intervention on the balance of diabetic foot amputees. There were 2 groups and 60 patients (30 in each group) in the study. The patients were divided into 2 groups using block randomization to provide equal distribution of the minor and major amputations in groups. An education program was prepared in line with Bandura's Social Cognitive Learning theory. Education was administered to the intervention group before the amputation. Three days after the education, the patientsâ€™ balance was examined using Berg Balance Scale (BBS). There were not any statistically significant differences between the groups regarding the sociodemographic and disease-related characteristics except for marital status ( Pâ€‰=â€‰.038). The mean BBS scores were 31.4â€‰Â±â€‰17.6 for the intervention group and 20.3â€‰Â±â€‰17.8 for the control group. We demonstrated that the intervention lowered fall risk after minor ( Pâ€‰=â€‰.045) but not major amputation ( Pâ€‰=â€‰.067). We recommend using education for the patients who will undergo amputation and further studies in larger and different populations. "</v>
          </cell>
          <cell r="E501" t="str">
            <v>DERMATOLOGY|SURGERY</v>
          </cell>
          <cell r="F501" t="str">
            <v>amputation,balance,bandura,education,social cognitive learning</v>
          </cell>
          <cell r="H501" t="str">
            <v>Q3</v>
          </cell>
        </row>
        <row r="502">
          <cell r="B502" t="str">
            <v>10.1177/1744259120930047</v>
          </cell>
          <cell r="C502" t="str">
            <v>" In building design, the decision-makers should not focus only on energy efficiency as a single objective but indoor environmental quality indicators, such as thermal comfort, daylight usage and so on, should also be considered as a part of building performance. The building performance can be ensured by determining the proper performance indicators and the variables during the design. In this context, a weighted (among the objectives) multi-objective cost function was proposed, for the optimisation of energy, thermal comfort and daylight usage of a case study archetype design, through the selected design variables, considering the base architectural design principles as well. A typical social housing archetype design was determined as the case study to apply the proposed approach. The window sizes are optimised for each orientation simultaneously, for a temperate-humid climatic region. The results were evaluated in terms of improvement potentials of energy, thermal comfort and daylight performances, and the dominant values for the window sizes for each facade. According to the results, the optimised scenario achieved an 11.42% reduction in primary energy use equivalent to 181.24â€‰kWh/m2a, a 4.52% reduction in a predicted percentage of dissatisfied with 9.12%, and a reduction in lighting energy of 4.94% equivalent to 21.17â€‰kWh/m2a. These reductions verify the possibility to achieve higher performances on each criterion. "</v>
          </cell>
          <cell r="E502" t="str">
            <v>CONSTRUCTION &amp; BUILDING TECHNOLOGY</v>
          </cell>
          <cell r="F502" t="str">
            <v>Multi-objective optimisation,energy efficiency,daylight usage,thermal comfort,social housing design</v>
          </cell>
          <cell r="H502" t="str">
            <v>Q3</v>
          </cell>
        </row>
        <row r="503">
          <cell r="B503" t="str">
            <v>10.1177/17449871231213830</v>
          </cell>
          <cell r="C503" t="str">
            <v>"Background: It is essential for nurses who care for individuals diagnosed with mental illness to establish a therapeutic relationship. There is no measurement tool available in TÃ¼rkiye to assess the therapeutic relationship between patient and nurse. Aim: The objective of this study is to perform a validity and reliability study of the Turkish version of a scale that enables the evaluation of the quality of the therapeutic relationship established between nurses and patients. Methods: 140 nurses were included in this study. The data were analysed using the exploratory and confirmatory analyses. Results: The scale consists of 25 items and four sub-dimensions. In confirmatory factor analysis (CFA), all factor loads were &gt;0.30. As a result of CFA, all fit indices were &gt;0.85 and the root mean square approximation was &lt;0.080. Cronbach alpha was 0.93 for the whole scale. Conclusion: The Turkish version of the TRAS-Nurse scale and its original version were compatible with each other and gave similar results. This scale can be used to determine the therapeutic relationship of nurses who care for psychiatric patients in TÃ¼rkiye and can be a useful measurement tool when evaluating the factors that may be effective in improving the therapeutic relationship. "</v>
          </cell>
          <cell r="E503" t="str">
            <v>NURSING</v>
          </cell>
          <cell r="F503" t="str">
            <v>mental health,nursing practice,psychiatric nurses,reliability and validity,scale,therapeutic relationship</v>
          </cell>
          <cell r="H503" t="str">
            <v>Q2</v>
          </cell>
        </row>
        <row r="504">
          <cell r="B504" t="str">
            <v>10.1177/1750698020982058</v>
          </cell>
          <cell r="C504" t="str">
            <v>" This article problematizes the relation between the cultural memory and the Gezi Park protests which took place in 2013 in Ä°stanbul. With this aim, a sample of the literature as the source for the analysis were selected. The selection of the literary productions were made purposively in order to analyze the memory of the Gezi Park protests in connection with the general understanding of the cultural memory. The relevance of the literature to the role of memory in social protest was analyzed on the basis of the three dimensional model of the relation between memory and literature by considering the working of three aspects of mnemonic mimesis: prefiguration, configuration, and reconfiguration. Consequently, literature as the mimesis of memory was connected to the analysis of the cultural memory of social protest. It was argued that the cultural memory of the Gezi Park protests contributes to the repertoire of the memory of the social protests in novel ways. "</v>
          </cell>
          <cell r="E504" t="str">
            <v>CULTURAL STUDIES|CULTURAL STUDIES|HISTORY|HISTORY</v>
          </cell>
          <cell r="F504" t="str">
            <v>cultural memory,literature,memory and social protest,the Gezi Park</v>
          </cell>
          <cell r="H504" t="str">
            <v>Q1</v>
          </cell>
        </row>
        <row r="505">
          <cell r="B505" t="str">
            <v>10.1177/1932296820928067</v>
          </cell>
          <cell r="C505" t="str">
            <v>"Background: Controlling postprandial blood glucose without the benefit of an appropriately sized premeal insulin bolus has been challenging given the delays in absorption and action of subcutaneously injected insulin during conventional and artificial pancreas (AP) system diabetes treatment. We aim to understand the impact of accelerating insulin and increasing aggressiveness of the AP controller as potential solutions to address the postprandial hyperglycemia challenge posed by unannounced meals through a simulation study. Methods: Accelerated rapid-acting insulin analogue is modeled within the UVA/Padova simulation platform by uniformly reducing its pharmacokinetic time constants (Î± multiplier) and used with a model predictive control, where the controllerâ€™s aggressiveness depends on Î±. Two sets of single-meal simulations were performed: (1) where we only tune the controllerâ€™s aggressiveness and (2) where we also accelerate insulin absorption and action to assess postprandial glycemic control during each intervention. Results: Mean percent of time spent within the 70 to 180â€‰mg/dL postprandial glycemic range is significantly higher in set (2) than in set (1): 79.9, 95% confidence interval [77.0, 82.7] vs 88.8 [86.8, 90.9] ([Note to typesetter: Set all unnecessary math in text format and insert appropriate spaces between operators.] P &lt; .05) for Î± = 2, and 81.4 [78.6, 84.3] vs 94.1 [92.6, 95.6] ( P &lt; .05) for Î± = 3. A decrease in percent of time below 70â€‰mg/dL is also detected: 0.9 [0.4, 2.2] vs 0.6 [0.2, 1.4] ( P = .23) for Î± = 2 and 1.4 [0.7, 2.8] vs 0.4 [0.1, 1.4] ( P &lt; .05) for Î± = 3. Conclusion: These proof-of-concept simulations suggest that an AP without prandial insulin boluses combined with significantly faster insulin analogues could match the glycemic performance obtained with an optimal hybrid AP. "</v>
          </cell>
          <cell r="E505" t="str">
            <v>ENDOCRINOLOGY &amp; METABOLISM</v>
          </cell>
          <cell r="F505" t="str">
            <v>artificial pancreas,fast-acting insulin analogues,model predictive control,type 1 diabetes,unannounced meals</v>
          </cell>
          <cell r="H505" t="str">
            <v>Q2</v>
          </cell>
        </row>
        <row r="506">
          <cell r="B506" t="str">
            <v>10.1177/2158244020988849</v>
          </cell>
          <cell r="C506" t="str">
            <v>" The young generation, born into digital technologies and called Millennials or the Y-Generation, are raised in a world where everybody has a computer in their pockets (Hamari et al., 2014), and they are constantly engaged in digital activities. However, research on the impact of digital devices on learnersâ€™ educational performance and motivation is still an emerging field. This article aims to examine perceptions of the sixth-grade students in Turkey of their e-reading experiences on the basis of their personalized/gamified/PDF electronic reading practices in school and the influences of their perceptions on their reading comprehension and levels of motivation in English as a foreign language (EFL) classroom. The study follows a quasi-experimental approach with four treatment groups and a control group, involving 96 sixth-grade state school students in Turkey. The three treatment groups read in order from the personalized/gamified/PDF electronic reading for 5 weeks whereas the control group used printed guided reading program. The results indicate that EFL learnersâ€™ use of screen reading has the potential to increase reading motivation of the students. However, no significant difference was observed in their reading comprehension levels despite the use of different reading medium in control and experimental groups. "</v>
          </cell>
          <cell r="E506" t="str">
            <v>SOCIAL SCIENCES, INTERDISCIPLINARY</v>
          </cell>
          <cell r="F506" t="str">
            <v>gamification,screen reading,personalized reading,electronic story book reading,EFL learners</v>
          </cell>
          <cell r="H506" t="str">
            <v>Q2</v>
          </cell>
        </row>
        <row r="507">
          <cell r="B507" t="str">
            <v>10.1177/21582440211040783</v>
          </cell>
          <cell r="C507" t="str">
            <v>" The effects of the linkage and the leverage over countries that either go through a democratic transition or further advance on the democratization path have been widely discussed by comparative democratization scholars. Western leverage designates governmentsâ€™ level of vulnerability in the face of foreign pressure for democratization, while linkage is meant to be the intensity of the connections and the cross-border streams between a democratizing country and the Western world. It is generally acknowledged that the linkage is a more determinative factor than the leverage. On the contrary, the authoritarian shifts of many countries that took place during the first two decades of the 21st century challenged the optimistic and deterministic role assigned to linkage. Turkey is a noteworthy example in this regard since the intensity of its linkage to Europe could not compensate the negative effects of a declining leverage over Turkish democratization since 2006. The argument that linkage matters more than leverage does not apply to Turkey. The evolution of domestic political regimes in European Union candidate countries in parallel with their accession processes constitutes separate cases differing from one another. Turkey is not only a separate case for its part, but also a unique one. "</v>
          </cell>
          <cell r="E507" t="str">
            <v>SOCIAL SCIENCES, INTERDISCIPLINARY</v>
          </cell>
          <cell r="F507" t="str">
            <v>leverage,linkage to the west,Turkey,authoritarianism,AKP</v>
          </cell>
          <cell r="H507" t="str">
            <v>Q2</v>
          </cell>
        </row>
        <row r="508">
          <cell r="B508" t="str">
            <v>10.1177/21582440231188928</v>
          </cell>
          <cell r="C508" t="str">
            <v>" Primary progressive aphasia (PPA) is a neurodegenerative disease characterized by the insidious and progressive loss of speech and language skills. However, there is no standardized intervention method applied in patients with PPA. It was conducted a virtual survey of SLTs across Turkey, to collect information about the assessment, intervention and management of patients with PPA. A total of 285 SLTs participated the survey; 76.8% ( nâ€‰=â€‰219) of the respondents were female, 58.9% ( nâ€‰=â€‰168) were 1 to 2â€‰years post graduation, 62.8% ( nâ€‰=â€‰179) of them were masterâ€™s degree, and 46% ( nâ€‰=â€‰131) were working in a rehabilitation center. All 285 participants included in the study stated that they did not create a therapy process for their clients with PPA and they performed the therapy processes applied in the classical aphasia treatment. Two hundred sixty-eight participants stated that they had more than six sessions with their clients, and 280 respondents. It is very important for all participants to plan functional interventions that require joint participation with the patient and their family/caregiver or friends, which will support communication and language and communication-oriented intervention. However, there is a need to develop specific evidence-based care pathways for people with PPA so that more efficient interventions can be made. Raising awareness among SLTs and other clinical service providers that rehabilitation is effective can increase the accessibility of interventions for individuals with PPA and lead to a more robust support system for individuals affected by PPA. "</v>
          </cell>
          <cell r="E508" t="str">
            <v>SOCIAL SCIENCES, INTERDISCIPLINARY</v>
          </cell>
          <cell r="F508" t="str">
            <v>primary progressive aphasia,speech and language therapists' perspectives,referrals,service delivery,preferences</v>
          </cell>
          <cell r="H508" t="str">
            <v>Q2</v>
          </cell>
        </row>
        <row r="509">
          <cell r="B509" t="str">
            <v>10.1177/23094990211061610</v>
          </cell>
          <cell r="C509" t="str">
            <v>"Purpose This study aimed to evaluate whether the posterior cruciate ligament sacrifice during total knee arthroplasty (TKA) has any effect on postoperative standing balance or not. Methods The patients who underwent bilateral TKA with either CR or PS design were analyzed. 30 patients (10 PS, 20 CR) were included for the final analysis. TKA designs were compared in terms of Lysholm score, range of motion, and balance characteristics including somatosensorial, vestibular, and visual balance scales, adaptation, limits of stability, and weight-bearing/squat tests by computerized dynamic posturography. Results The mean follow-up time was 59Â months for CR, 49Â months for PS group. The average Lysholm score values were 94 for CR and 95 for PS group, indicating functionally similar patient groups. The average knee flexion was found significantly higher in PS group (114Â°) compared to CR group (102Â°) ( p = 0.009). In the CR group, motor adaptation tests (toes up/toes down) were found to be better ( p = 0.034). In the on-axis velocity parameter (linear goal orientation) of limits of stability test, PS group patients were found to be more successful ( p = 0.035). Conclusions The use of CR implants can be recommended in patients with a high risk of falling since they provide better motor adaptation providing rapid reactions to rapid surface changes. Better linear goal orientation in PS group, providing a faster movement in an intended direction, should be considered when planning the ideal implant for the patients with relevant activities. "</v>
          </cell>
          <cell r="E509" t="str">
            <v>ORTHOPEDICS|SURGERY</v>
          </cell>
          <cell r="F509" t="str">
            <v>posturography,balance,dynamic,total knee arthroplasty,cruciate-retaining,cruciate-substituting,level of evidence,level III,comparative study</v>
          </cell>
          <cell r="H509" t="str">
            <v>Q3</v>
          </cell>
        </row>
        <row r="510">
          <cell r="B510" t="str">
            <v>10.1186/s12894-023-01388-2</v>
          </cell>
          <cell r="C510" t="str">
            <v>"Abstract\nBackground\nUrinary incontinence (UI), which usually occurs in women but affects both sexes, is a significant public health challenge. This study aims to comprehensively investigate the prevalence and determinants of UI in men and women, considering gender-specific factors.\n\nMethods\nThe study performed a secondary analysis on data obtained from 13,383 individuals surveyed in the 2019 Turkish Health Survey, providing a representation of the Turkish population. The dataset included sociodemographic and health-related variables like UI, body mass index (BMI), physical activity, smoking, and chronic diseasesâ€”statistical analysis employed chi-square tests and gender-stratified logistic regression models to identify UI-associated factors.\n\nResults\nOur results showed that UI affected 8.8% of the population, with a striking gender disparity. Women had a notably higher prevalence at 11.2%, while men had a lower rate of 5.5%. Importantly, this gender gap narrowed with age. For example, in the 34â€“44 age group, the female/male ratio was 6.9, but it decreased to 1.4 in the 65â€“74 age group. Marital status and employment status played significant roles. Separated, divorced, or widowed individuals, particularly women, had the highest prevalence at 19.3%. Employment status influenced UI prevalence, with employed men having the lowest rate (2.1%), while retired women faced the highest rate (15.0%). Higher BMI, especially in obese individuals, significantly raised UI prevalence, reaching 7.9% for men and 15.8% for women. Physical inactivity, notably in women (17.0%), and prolonged sedentary hours (13.9%) were associated with higher UI rates. Former smokers, especially women (15.9%), had a notable impact on UI. Poor perceived health and chronic conditions like Chronic Obstructive Pulmonary Disease (COPD), hypertension, and diabetes were significantly associated with higher UI prevalence. Logistic regression analysis revealed that age, education, perceived health status, COPD, and diabetes were significant factors associated with UI in both sexes, while in women, BMI, physical activity, and smoking also played notable roles.\n\nConclusions\nThis extensive UI study has unveiled notable gender disparities and determinants. Notably, these disparities decrease with age, underlining UIâ€™s changing nature over time. Modifiable factors impact women more, while non-modifiable factors are linked to men. The study underscores the importance of tailoring healthcare strategies to address UI based on gender.\n"</v>
          </cell>
          <cell r="E510" t="str">
            <v>UROLOGY &amp; NEPHROLOGY</v>
          </cell>
          <cell r="F510" t="str">
            <v>Urinary incontinence,Gender,Risk factors,Prevalence,Population-based study</v>
          </cell>
          <cell r="H510" t="str">
            <v>Q3</v>
          </cell>
        </row>
        <row r="511">
          <cell r="B511" t="str">
            <v>10.1186/s12903-021-01806-7</v>
          </cell>
          <cell r="C511" t="str">
            <v>"Abstract\nBackground\nThe popularity of implant dentistry is increasing dramatically, but the success of implant treatment depends on a patientâ€™s knowledge and expectations.\n\nMethods\nThis study aimed to assess dental implant knowledge among refugees as a treatment option (nâ€‰=â€‰565), using face-to-face interviews. The frequency distribution of the responses in general and according to age, gender and education was calculated.\n\nResults\n81.8% of the interviewees had missing teeth, however, only 26.2% replaced them. 16.6% of participants had never/hardly heard about implants. Females who never heard of implants were more than males (Pâ€‰&lt;â€‰0.001). 51.3% of participants described dental implants as a screw, and only 35.4% knew implants were placed in jawbones. 6.2% of respondents reported that implants required more care than a natural teeth, with 47.6% believing that diseases affect implant success. Friends were the main source of information (61.4%). Highly educated participants showed higher knowledge about implants.\n\nConclusions\nThe surveyed sample revealed limited knowledge about dental implants with high cost being a major obstacle, warranting more strategies to increase awareness and to make implants more affordable for this population.\n"</v>
          </cell>
          <cell r="E511" t="str">
            <v>DENTISTRY, ORAL SURGERY &amp; MEDICINE</v>
          </cell>
          <cell r="F511" t="str">
            <v>Dental implants,Tooth replacement,Public dental health,Level of information,Syrian refugees</v>
          </cell>
          <cell r="H511" t="str">
            <v>Q1</v>
          </cell>
        </row>
        <row r="512">
          <cell r="B512" t="str">
            <v>10.1186/s13662-020-03177-9</v>
          </cell>
          <cell r="C512" t="str">
            <v>"AbstractIn this research, we discuss the influence of an infectious disease in the evolution of ecological species. A computational predator-prey model of fractional order is considered. Also, we assume that there is a non-fatal infectious disease developed in the prey population. Indeed, it is considered that the predators have a cooperative hunting. This situation occurs when a pair or group of animals coordinate their activities as part of their hunting behavior in order to improve their chances of making a kill and feeding. In this model, we then shift the role of standard derivatives to fractional-order derivatives to take advantage of the valuable benefits of this class of derivatives. Moreover, the stability of equilibrium points is studied. The influence of this infection measured by the transmission rate on the evolution of predator-prey interaction is determined. Many scenarios are obtained, which implies the richness of the suggested model and the importance of this study. The graphical representation of the mathematical results is provided through a precise numerical scheme. This technique enables us to approximate other related models including fractional-derivative operators with high accuracy and efficiency."</v>
          </cell>
          <cell r="E512" t="str">
            <v>MATHEMATICS|MATHEMATICS, APPLIED</v>
          </cell>
          <cell r="F512" t="str">
            <v>Predator-prey model,Infected prey,Hunting cooperation,Fractional calculus</v>
          </cell>
          <cell r="H512" t="str">
            <v>Q1</v>
          </cell>
        </row>
        <row r="513">
          <cell r="B513" t="str">
            <v>10.1186/s13662-021-03395-9</v>
          </cell>
          <cell r="C513" t="str">
            <v>"AbstractThe behavior of any complex dynamic system is a natural result of the interaction between the components of that system. Important examples of these systems are biological models that describe the characteristics of complex interactions between certain organisms in a biological environment. The study of these systems requires the use of precise and advanced computational methods in mathematics. In this paper, we discuss a preyâ€“predator interaction model that includes two competitive predators and one prey with a generalized interaction functional. The primary presumption in the model construction is the competition between two predators on the only prey, which gives a strong implication of the real-world situation. We successfully establish the existence and stability of the equilibria. Further, we investigate the impact of the memory measured by fractional time derivative on the temporal behavior. We test the obtained mathematical results numerically by a proper numerical scheme built using the Caputo fractional-derivative operator and the trapezoidal product-integration rule."</v>
          </cell>
          <cell r="E513" t="str">
            <v>MATHEMATICS|MATHEMATICS, APPLIED</v>
          </cell>
          <cell r="F513" t="str">
            <v>Predator-prey model,Generalized functional response,Predator competition,Fractional calculus,Sensitivity analysis</v>
          </cell>
          <cell r="H513" t="str">
            <v>Q1</v>
          </cell>
        </row>
        <row r="514">
          <cell r="B514" t="str">
            <v>10.1186/s13662-021-03472-z</v>
          </cell>
          <cell r="C514" t="str">
            <v>"AbstractIn this article we propose a hybrid method based on a local meshless method and the Laplace transform for approximating the solution of linear one dimensional partial differential equations in the sense of the Caputoâ€“Fabrizio fractional derivative. In our numerical scheme the Laplace transform is used to avoid the time stepping procedure, and the local meshless method is used to produce sparse differentiation matrices and avoid the ill conditioning issues resulting in global meshless methods. Our numerical method comprises three steps. In the first step we transform the given equation to an equivalent time independent equation. Secondly the reduced equation is solved via a local meshless method. Finally, the solution of the original equation is obtained via the inverse Laplace transform by representing it as a contour integral in the complex left half plane. The contour integral is then approximated using the trapezoidal rule. The stability and convergence of the method are discussed. The efficiency, efficacy, and accuracy of the proposed method are assessed using four different problems. Numerical approximations of these problems are obtained and validated against exact solutions. The obtained results show that the proposed method can solve such types of problems efficiently."</v>
          </cell>
          <cell r="E514" t="str">
            <v>MATHEMATICS|MATHEMATICS, APPLIED</v>
          </cell>
          <cell r="F514" t="str">
            <v>Local meshless method,Linear partial differential equations,Laplace transform,Caputo Fabrizio fractional derivative</v>
          </cell>
          <cell r="H514" t="str">
            <v>Q1</v>
          </cell>
        </row>
        <row r="515">
          <cell r="B515" t="str">
            <v>10.1186/s13662-021-03507-5</v>
          </cell>
          <cell r="C515" t="str">
            <v>"The shifted Chebyshev polynomials of the fifth kind (SCPFK) and the collocation method are employed to achieve approximate solutions of a category of the functional equations, namely variable-order time-fractional weakly singular partial integro-differential equations (VTFWSPIDEs). A pseudo-operational matrix (POM) approach is developed for the numerical solution of the problem under study. The suggested method changes solving the VTFWSPIDE into the solution of a system of linear algebraic equations. Error bounds of the approximate solutions are obtained, and the application of the proposed scheme is examined on five problems. The results confirm the applicability and high accuracy of the method for the numerical solution of fractional singular partial integro-differential equations."</v>
          </cell>
          <cell r="E515" t="str">
            <v>MATHEMATICS|MATHEMATICS, APPLIED</v>
          </cell>
          <cell r="F515" t="str">
            <v>Variable-order time-fractional weakly singular partial integro-differential equations,Pseudo-operational matrix,Fifth-kind Chebyshev polynomials,Caputo derivative,Riemann-Liouville integral</v>
          </cell>
          <cell r="H515" t="str">
            <v>Q1</v>
          </cell>
        </row>
        <row r="516">
          <cell r="B516" t="str">
            <v>10.1186/s40069-021-00462-z</v>
          </cell>
          <cell r="C516" t="str">
            <v>"Super absorbent polymers (SAP) are the recent promising chemical admixtures with the potential for reducing the shrinkage, cracking, freeze/thaw and increasing the durability of the concrete. These polymers are classified as hydrogels when cross-linked and can retain exceptionally high amount of liquid solutions of their own weight. In this paper, the flowability of the concrete is quantified by means of developing a percolation-based image processing method and the transient behavior of the viscosity of the SAP-contained mortar mixture is characterized via numerical solution of Navierâ€“Stokes relationship. In addition, rheological measurements and the analytical development has been carried out for complementary verification of the viscosity trends. Controlling the flow within such relatively short period of time is essential for tuning the functionality of concrete during the construction as well as itâ€™s respective resilience during the extended period of application."</v>
          </cell>
          <cell r="E516" t="str">
            <v>CONSTRUCTION &amp; BUILDING TECHNOLOGY|ENGINEERING, CIVIL|MATERIALS SCIENCE, MULTIDISCIPLINARY</v>
          </cell>
          <cell r="H516" t="str">
            <v>Q2</v>
          </cell>
        </row>
        <row r="517">
          <cell r="B517" t="str">
            <v>10.1186/s40069-021-00466-9</v>
          </cell>
          <cell r="C517" t="str">
            <v>"An amendment to this paper has been published and can be accessed via the original article."</v>
          </cell>
          <cell r="E517" t="str">
            <v>CONSTRUCTION &amp; BUILDING TECHNOLOGY|ENGINEERING, CIVIL|MATERIALS SCIENCE, MULTIDISCIPLINARY</v>
          </cell>
          <cell r="H517" t="str">
            <v>Q2</v>
          </cell>
        </row>
        <row r="518">
          <cell r="B518" t="str">
            <v>10.1186/s41935-023-00337-2</v>
          </cell>
          <cell r="C518" t="str">
            <v>"Abstract\nBackground\nThe types of Wormian bones may play a role in population affinity and differential diagnosis of several clinical syndromes. This study investigates the distribution of types in adult skulls, their correlation to sex, population affinity, and several impairments based on the literature. One hundred ten adult Turkish skulls, 80 (72.7%) males and 30 (27.2%) females, were investigated according to type, frequency, location, and sex. Horizontal and vertical diameters and distances from the mastoid process (MP) were measured with a digital caliper. SPSS 25 was used for all statistical analyses.\n\nResults\nA total of 58 (52.72%) Wormian bones were identified from 110 skulls, 38 (65.5%) males and 20 (34.5%) females. The types of Wormian bones revealed significant differences between being on the right, left, or center (pâ€‰=â€‰0.012). The most frequent type was type 6 (nâ€‰=â€‰14, 24.1%) in males and type 7 (nâ€‰=â€‰8, 13.8%) in females. The most frequent type was type 7 in the lambdoid suture and type 8 in the parietomastoid suture.\n\nConclusions\nThe present study revealed significant differences regarding the asymmetric distribution of Wormian bones and unilateral asymmetrical types in Turkish skulls. Several factors could contribute to this, including underlying clinical syndrome, deficiencies in embryological development, and population affinity.\n\n"</v>
          </cell>
          <cell r="E518" t="str">
            <v>MEDICINE, LEGAL</v>
          </cell>
          <cell r="F518" t="str">
            <v>Wormian bones,Os incae,Lambdoid suture,Lambda,Skull</v>
          </cell>
          <cell r="H518" t="str">
            <v>Q3</v>
          </cell>
        </row>
        <row r="519">
          <cell r="B519" t="str">
            <v>10.1186/s41935-023-00349-y</v>
          </cell>
          <cell r="C519" t="str">
            <v>"Abstract\nBackground\nThis research aimed to determine the incidence, variations, types, and potential locations of the accessory transverse foramen (ATF) in dry cervical vertebrae. A total of 250 Turkish dry cervical vertebrae were examined, with 500 transverse foramina investigated. The cervical vertebrae were categorized into five groups (C3â€“C7), and each cervical vertebra was assessed bilaterally to determine the location, incidence, and side of the ATF.\n\nResults\n ATF was observed in 21 vertebrae (8.4%) and was distributed posteriorly (76.2%), posterolaterally (19.04%), and posteromedially (4.8%) in relation to the location of the TF. The incidence of ATF was 4.8% in C3, 28.6% in C4, 9.5% in C5, 23.8% in C6, and 33.3% in C7. Furthermore, a statistically significant difference was observed in the unilateral or bilateral occurrence of the ATF (F = 3.079; p = 0.047, p &lt; 0.05).\n\nConclusions\nIn this study, we have presented an investigative approach and discussed the potential implications of identifying the ATF in dry cervical vertebrae. The presence of ATF can be crucial in the diagnosis of variations in the vertebral artery (VA) and underlying disorders, potentially aiding in the determination of the cause of death or ancestry. Additionally, the posterior location of the ATF and its asymmetric distribution should be taken into account when evaluating dry cervical vertebrae, which may offer valuable information for the identification of variations.\n"</v>
          </cell>
          <cell r="E519" t="str">
            <v>MEDICINE, LEGAL</v>
          </cell>
          <cell r="F519" t="str">
            <v>Transverse foramen,Accessory transverse foramen,Cervical vertebra,Vertebra,Spine,Bone</v>
          </cell>
          <cell r="H519" t="str">
            <v>Q3</v>
          </cell>
        </row>
        <row r="520">
          <cell r="B520" t="str">
            <v>10.1192/j.eurpsy.2021.1771</v>
          </cell>
          <cell r="C520" t="str">
            <v>"IntroductionAfter the first case of Covid-19 was emerged in Turkey on March 11, 2020, schools were closed distance education began. On March 21, curfew was declared for people who under the age of 20. Subsequently, the date of the nationwide university exam was changed twice.ObjectivesThis study has two aims. The first goal was to investigate the factors that affect the test anxiety of individuals who will enter the university exam during the Covid-19 outbreak. The second aim was to investigate whether the test anxiety levels of the participants vary according to the level of cognitive flexibility and self-regulation.MethodsThe study consists of 420 (284 women, 131 men and 5 others). The age range of the participants was between 18 and 21, with the mean of 18.33. Exam Anxiety Scale, Adolescent Self-Regulation Skills Scale and Cognitive Flexibility Scale were used to collect data.ResultsThe findings indicated that womenâ€™s level of test anxiety was higher than men. Those who do have concentration issues in distance education have high level of test anxiety. Test anxiety was higher for students whose household income decreased because of the pandemic. MANOVA results revealed that individuals with low test anxiety have higher â€˜self-regulation successfulâ€™ scores and lower â€˜self-regulation unsuccessfulâ€™ scores. Moreover, it was yielded that people with low test anxiety have higher level of cognitive flexibility.ConclusionsProtective factors such as cognitive flexibility and self-regulation play an important role in individualsâ€™ management of test anxiety.DisclosureNo significant relationships."</v>
          </cell>
          <cell r="E520" t="str">
            <v>PSYCHIATRY|PSYCHIATRY</v>
          </cell>
          <cell r="F520" t="str">
            <v>test anxiety,COVID-19,self-regulation,cognitive flexibility</v>
          </cell>
          <cell r="H520" t="str">
            <v>Q1</v>
          </cell>
        </row>
        <row r="521">
          <cell r="B521" t="str">
            <v>10.1192/j.eurpsy.2021.1779</v>
          </cell>
          <cell r="C521" t="str">
            <v>"IntroductionAs in many areas of life, the covid-19 epidemic has had a great impact on psychological counselor training. Although studies and practices on online counseling are increasing every day in the world, there has not been a psychological counseling method preferred by experts in Turkey, which comes from community culture and, where physical contact is important, until the pandemic.ObjectivesThe examination of the opinions of the students studying in the last year of the psychological counseling and guidance undergraduate program during the pandemic regarding online counseling, where they perform their first psychological counseling experience.MethodsThe study was conducted with 10 counseling students, 9 women and 1 Man. The age range of the students is 22-24 and the average age is 20.6. The studentsâ€™ opinions are taken with open-ended questions such as â€œCan you share your views on online counseling before online counseling?â€œ The reflection letter that the students responded to was subjected to content analysis.ResultsThe findings of the study show that there are four themes: Emotions before the counseling process, Thoughts before the counseling process, Therapeutic relationship, Online counseling in professional life. For example; in online counseling, negative emotions such as anxiety, excitement, fear, anxiety, stress, anxiety, as well as feeling comfortable and safe are among the positive feelings they experience in their therapeutic relationships.ConclusionsAs a result, although students have a positive view of online counseling, they mainly prefer to do it face-to-face. The findings were discussed taking into account Turkish culture.DisclosureNo significant relationships."</v>
          </cell>
          <cell r="E521" t="str">
            <v>PSYCHIATRY|PSYCHIATRY</v>
          </cell>
          <cell r="F521" t="str">
            <v>online counseling,COVID-19,Turkish Counselor Candidates,Therapeutic relationship</v>
          </cell>
          <cell r="H521" t="str">
            <v>Q1</v>
          </cell>
        </row>
        <row r="522">
          <cell r="B522" t="str">
            <v>10.1192/j.eurpsy.2021.1927</v>
          </cell>
          <cell r="C522" t="str">
            <v>"IntroductionChildhood trauma has a negative impact on mental health of individuals. Self-compassion involves being open to painful and troubling feelings, approaching them in a caring and loving way, accepting negative experiences as a part of human life. Optimism is an individualâ€™s belief that everything will be better in the future despite the difficulties and obstacles of life. Shame is the feeling that occurs when an inadequacy or inappropriate behavior is noticed.ObjectivesThe aim of this study was to investigate the effects of childhood trauma on self-compassion, optimism, and shame.MethodsChildhood Trauma Scale, Self-Compassion Scale, Life Orientation Test and Shame Scale were administered to 384 individuals (304 Female and 80 Male). Their age range was between 18 and 25, with the mean of 21.26.ResultsThe findings of MANOVA indicated that a significant main effect of gender on emotional abuse and sexual abuse however there was no main effect of gender on physical abuse, physical neglect, emotional neglect, and excessive protection. Women were exposed to emotional and sexual abuse more than men. MANOVA that was applied to the scores of CTQ revealed a significant overall main effect of self-compassion and optimism whereas there was no main effect of shame.ConclusionsWhile self-compassion and optimism are the protective factors for the traumatized individuals, shame is the risk factor.DisclosureNo significant relationships."</v>
          </cell>
          <cell r="E522" t="str">
            <v>PSYCHIATRY|PSYCHIATRY</v>
          </cell>
          <cell r="F522" t="str">
            <v>Shame,Optimism,childhood-trauma,Self-compassion</v>
          </cell>
          <cell r="H522" t="str">
            <v>Q1</v>
          </cell>
        </row>
        <row r="523">
          <cell r="B523" t="str">
            <v>10.1192/j.eurpsy.2021.2036</v>
          </cell>
          <cell r="C523" t="str">
            <v>"IntroductionTraumatic experiences has a key role on the mental health of individuals. Turkish Armed Forces has been involved in various combat in and out of the country over the years. Individuals who are able to find meaning after a negative life events are better overcome their issues and return to their positive functioning. Unhealthy attachment styles has been observed more in clinical samples than healthy attachment styles.ObjectivesThe aim of this study was to investigate the predictive role of attachment styles and meaning in life on psychiatric symptoms among wife of military personel who lost their lifes.Methods74 women who lost their husband in combat to the study. Their age was between 21 and 74, with the mean of 46.93. 60 (75.9%) participants had a child when they lost their husband. 63 (79.7%) of them hasnâ€™t been married again. Brief Symptom Inventory, Meaning in Life Scale and Relationship Scales Questtionnare were used to collect the data. Five different regression analysis was conducted.ResultsFinding meaning in life, dismissing and preoccupied attachment sytles predicted depression (R2= 51.8%). Finding meaning in life and fearful attachment styles predicted anxiety (R2= 46.2%). Finding meaning in life and fearful attachment styles predicted negative identity (R2= 51.1%). Finding meaning in life and dismissing attachment styles predicted hostility (R2= 50.4%) and somatization (R2= 57%).ConclusionsMeaning in life has a protective role in the development of any psychopathologies whereas insecure attachment styles are risk factor.DisclosureNo significant relationships."</v>
          </cell>
          <cell r="E523" t="str">
            <v>PSYCHIATRY|PSYCHIATRY</v>
          </cell>
          <cell r="F523" t="str">
            <v>attachment styles,The Meaning in Life,Wife of Military Personel,Psychiatric symptoms</v>
          </cell>
          <cell r="H523" t="str">
            <v>Q1</v>
          </cell>
        </row>
        <row r="524">
          <cell r="B524" t="str">
            <v>10.1200/JCO.2021.39.15_suppl.11024</v>
          </cell>
          <cell r="C524" t="str">
            <v>" 11024  Background: Undergraduate medical education in oncology is often fragmented and non-standardized among medical schools (BMC Med Educ 17:100, 2017). Oncology education initiatives are thus critically needed to increase cancer awareness and improve medical studentsâ€™ understanding of the principles and multidisciplinary approach of oncology. We designed and implemented an online education program with the aim of providing medical students with an early exposure to the field of oncology. Our program was adapted from the Australian Ideal Oncology Curriculum for Medical Schools and included six sessions covering the basics of cancer biology, prevention and screening, diagnosis and patient management, principles of treatment modalities, principles of surgical oncology, as well as counselling and communications skills. Methods: Medical students at our institution were invited to participate. We also invited medical students from other faculties via the support of student groups namely the nationâ€™s medical student union and our ASCO Oncology Student Interest Group (OSIG). Invitations were sent by email and/or via social media along with a brochure outlining the conferenceâ€™s program and instructions to use the Zoom platform. Students were asked to voluntarily fill online pre- and post-conference anonymous surveys. Students self-assessed their competency, personal attributes, future career aspirations, and provided an evaluation of the program. A five-point Likert scale was used for most questions, in which 1 indicated strong disagreement and 5 indicated strong agreement with the statement. Results: Nearly 300 students from over 50 medical schools in Turkey attended the live program. Only students (n = 228) who completed both the pre- and post-conference surveys were included in our study. ASCO OSIG members made up 24.1% (n = 55) of the students. Among the participants, 73.7% (n = 168) were preclinical students (years 1-3) and 26.3% (n = 60) were clinical students (years 4-6). Studentsâ€™ overall self-reported rating of their knowledge significantly improved in each of the six sessions, with the greatest pre-post difference observed for diagnosis and patient management (2.51 Â± 1 vs 3.87 Â± 0.81) followed by principles of treatment modalities (2.54 Â± 0.96 vs 3.79 Â± 0.88), P &lt; 0.001. Most students believed the program was beneficial in improving their current understanding of oncology with a mean of 4.43 Â± 0.76. Most students (92.5%) were â€œlikelyâ€ or â€œvery likelyâ€ to recommend the program to their colleagues. Conclusions: Studentsâ€™ evaluation of the online oncology program demonstrated significant benefit and knowledge improvement. Our successfully piloted teaching model of oncology for medical students can be adapted and implemented at medical schools globally. Further development and continuation of our educational initiative is undergoing. "</v>
          </cell>
          <cell r="E524" t="str">
            <v>ONCOLOGY</v>
          </cell>
          <cell r="H524" t="str">
            <v>Q1</v>
          </cell>
        </row>
        <row r="525">
          <cell r="B525" t="str">
            <v>10.1200/JCO.2021.39.6_suppl.321</v>
          </cell>
          <cell r="C525" t="str">
            <v>" 321  Background: Immune checkpoint inhibitors (ICIs) started a new era in the treatment of metastatic renal cell carcinoma (mRCC). CheckMate-025 and CheckMate-214 trials established the effect of ICIs in the second-line and upfront therapy of mRCC, respectively. This study aimed to share a real-life experience regarding nivolumab in the second-line treatment and beyond in mRCC Methods: We retrospectively searched the Turkish Oncology Group Kidney Cancer Consortium (TKCC) database, which is the multicenter registry system, and extracted patients treated with nivolumab in the second line and beyond. The patients treated with nivolumab plus targeted therapy or ipilimumab were excluded. The primary endpoint was overall survival (OS). The secondary endpoints were response rates and safety. Results: A total of 134 patients were included in this study. The median age at the starting of nivolumab treatment was 61 years (Inter Quartile Range (IQR):55-67). Three out of four patients were male. One hundred four patients (78%) had previous nephrectomy. The majority of patients had clear-cell pathology (83%). Thirteen patients (10%) had sarcomatoid features. According to International Metastatic RCC Database Consortium (IMDC) risk score, seventy patients (52%) were in the intermediate and poor prognostic group. The previous drugs administered in each line before nivolumab are shown in the table below. The number of patients treated with nivolumab was 63(47%), 45(33%), 17(13%), and 9(7%) in the second-, third-, fourth-, and fifth-line setting, respectively. The median OS was 34 months (95% Confidence Interval (CI): 24.1-43.8)) with the 15 months (IQR:5-26) median follow-up. Objective response rate (ORR) and disease control rate (DCR) was 33% and 57%, respectively. The most common grade 3 or higher AEs leading to treatment discontinuation were pneumonitis (%1.4) and colitis (&lt;%1). Conclusions: In compliance with the CheckMate-025 trial results, nivolumab improved OS for mRCC patients treated in the second line and beyond. The median OS was slightly higher in our study than the CheckMate-025 (34 months versus 25.8 months). It may be associated with the patient population in our study. Patients up to the fifth-line setting of mRCC treatment were included in this study. Of note, there was no additional safety concern for nivolumab. [Table: see text] "</v>
          </cell>
          <cell r="E525" t="str">
            <v>ONCOLOGY</v>
          </cell>
          <cell r="H525" t="str">
            <v>Q1</v>
          </cell>
        </row>
        <row r="526">
          <cell r="B526" t="str">
            <v>10.1200/OP.21.00463</v>
          </cell>
          <cell r="C526" t="str">
            <v>"PURPOSE: Oncology education at medical schools is often fragmented, under-represented, and nonstandardized. Medical students lack essential knowledge, skills, and attitudes necessary for them to provide optimal primary care to patients with cancer upon graduation. METHODS: In this study, we designed and assessed the impact of a compact oncology teaching conference on medical students. The conference covered topics in cancer biology, public health, diagnosis, patient management, treatment, and communication skills. Medical students completed voluntary presurveys and postsurveys regarding their perceived knowledge, attitudes, and perspectives. The event was promoted by student groups, particularly our ASCO Oncology Student Interest Group, and took place online. RESULTS: A total of 228 responses from medical students representing 50 universities were analyzed. We revealed significant baseline confidence and perceived knowledge deficits especially in diagnosis and patient management, and treatment modalities. Our conference positively affected self-assessed knowledge acquisition among students, with the most pronounced differences seen in diagnosis and patient management (2.51 Â± 1 v 3.87 Â± 0.81) and treatment modalities (2.54 Â± 0.96 v 3.79 Â± 0.88), P &lt; .001. Students believed the program was beneficial, felt more confident in applying their knowledge in the clinic and in delivering bad news, and were more interested in pursuing oncology-related fields, P &lt; .001. CONCLUSION: We demonstrated that a compact teaching conference resulted in significant improvements in students' confidence and perceived knowledge about oncology. Our successful teaching model can be adapted and implemented at medical schools globally. Development and evaluation of teaching programs are important to urgently reform undergraduate medical education in oncology. "</v>
          </cell>
          <cell r="E526" t="str">
            <v>ONCOLOGY</v>
          </cell>
          <cell r="H526" t="str">
            <v>Q1</v>
          </cell>
        </row>
        <row r="527">
          <cell r="B527" t="str">
            <v>10.1215/15525864-9306832</v>
          </cell>
          <cell r="C527" t="str">
            <v>"abstract:Through a consideration of three film worksâ€”Ravished Armenia/Auction of Souls (1919), Testimony (2007), and Remembering (2019), which all represent the testimonies of Armenian women to form truths of the catastropheâ€”this article problematizes how such portrayals might, contrary to their best intentions, resonate with the logic of genocide. By discussing specific woman figures in the three works, published at three times in the postgenocidal eraâ€”one just after the events, the other two recentlyâ€”this article aims not only to mark the evolution of the representational regime with which the Armenian woman is surrounded but also to show that this phenomenon is a key component in a transformation of the lexicon developed around the recognition politics, which ought to involve something other than feverishly chasing a representation of the events of 1915â€“17 and using women's witness narratives to this end."</v>
          </cell>
          <cell r="E527" t="str">
            <v>WOMENS STUDIES</v>
          </cell>
          <cell r="F527" t="str">
            <v>Armenian woman,witness narrative,recognition politics</v>
          </cell>
          <cell r="H527" t="str">
            <v>Q4</v>
          </cell>
        </row>
        <row r="528">
          <cell r="B528" t="str">
            <v>10.1259/dmfr.20220209</v>
          </cell>
          <cell r="C528" t="str">
            <v>"Objectives: A separated endodontic instrument is one of the challenging complications of root canal treatment. The purpose of this study was to compare two deep learning methods that are convolutional neural network (CNN) and long short-term memory (LSTM) to detect the separated endodontic instruments on dental radiographs. Methods: Panoramic radiographs from the hospital archive were retrospectively evaluated by two dentists. A total of 915 teeth, of which 417 are labeled as â€œseparated instrumentâ€ and 498 are labeled as â€œhealthy root canal treatmentâ€ were included. A total of six deep learning models, four of which are some varieties of CNN (Raw-CNN, Augmented-CNN, Gabor filtered-CNN, Gabor-filtered-augmented-CNN) and two of which are some varieties of LSTM model (Raw-LSTM, Augmented-LSTM) were trained based on several feature extraction methods with an applied or not applied an augmentation procedure. The diagnostic performances of the models were compared in terms of accuracy, sensitivity, specificity, positive- and negative-predictive value using 10-fold cross-validation. A McNemarâ€™s tests was employed to figure out if there is a statistically significant difference between performances of the models. Receiver operating characteristic (ROC) curves were developed to assess the quality of the performance of the most promising model (Gabor filtered-CNN model) by exploring different cut-off levels in the last decision layer of the model. Results: The Gabor filtered-CNN model showed the highest accuracy (84.37 Â± 2.79), sensitivity (81.26 Â± 4.79), positive-predictive value (84.16 Â± 3.35) and negative-predictive value (84.62 Â± 4.56 with a confidence interval of 80.6 Â± 0.0076. McNemarâ€™s tests yielded that the performance of the Gabor filtered-CNN model significantly different from both LSTM models (p &lt; 0.01). Conclusions: Both CNN and LSTM models were achieved a high predictive performance on to distinguish separated endodontic instruments in radiographs. The Gabor filtered-CNN model without data augmentation gave the best predictive performance. "</v>
          </cell>
          <cell r="E528" t="str">
            <v>DENTISTRY, ORAL SURGERY &amp; MEDICINE|RADIOLOGY, NUCLEAR MEDICINE &amp; MEDICAL IMAGING</v>
          </cell>
          <cell r="F528" t="str">
            <v>Artificial intelligence,CNN,deep learning,LSTM,panoramic radiograph,separated endodontic instruments</v>
          </cell>
          <cell r="H528" t="str">
            <v>Q2</v>
          </cell>
        </row>
        <row r="529">
          <cell r="B529" t="str">
            <v>10.12681/jhvms.26307</v>
          </cell>
          <cell r="C529" t="str">
            <v>"The present study aimed to evaluate the GSH and MDA levels in dogâ€™s serum and vital organs of aborted fetuses, after application of two abortifacient. Animals of group I (n = 6) were treated twice with subcutaneous injection of 10 mg/kg aglepristone and group II (n = 3) received prostaglandin F2Î± at a dose of 125 Î¼g/kg every 12 hours until abortion process completed. Hematologic examinations and sedimentation rates were performed of bitches. The duration between first occurrence of vaginal discharge to first expulsion of fetuses ranged between 14-29 hours (mean: 22.6Â±5.5 h) and 24-33 hours in group I and II, respectively. Both treatments significantly increased the serum MDA levels (P&lt;0.01); however aglepristone increased the MDA levels throughout the study, prostaglandin enhanced plasma MDA levels only on day 1. GSH levels were significantly lower in aglepristone-treated bitches than prostaglandin-treated animals (P&lt;0.05). The treatments resulted similar MDA levels in liver and heart tissues (P&gt;0.05). GSH levels in kidney, muscle and heart tissues did not differ between groups (P&gt;0.05), aglepristone resulted reduced GSH levels in liver tissue (P&lt;0.05). High MDA levels could be evaluated as a useful marker for fetal suffering in pregnancy controls. The MDA and GSH levels, measured in vital organs of fetuses, could suggest possible toxic effects of abortifacients in newborns, as both medical agents are being used in parturition induction."</v>
          </cell>
          <cell r="E529" t="str">
            <v>VETERINARY SCIENCES</v>
          </cell>
          <cell r="F529" t="str">
            <v>Pregnancy termination,Malondialdehyde,Reduced Glutathione,Prostaglandin,Aglepristone,Dog</v>
          </cell>
          <cell r="H529" t="str">
            <v>Q4</v>
          </cell>
        </row>
        <row r="530">
          <cell r="B530" t="str">
            <v>10.1287/ijoc.2019.0952</v>
          </cell>
          <cell r="C530" t="str">
            <v>" Recommender systems have become one of the main components of web technologies that help people to cope with information overload. Based on the analysis of past user behavior, these systems filter items according to usersâ€™ likes and interests. Two of the most important metrics used to analyze the performance of these systems are the accuracy and diversity of the recommendation lists. Whereas all the efforts exerted in the prediction of the user interests aim at maximizing the former, the latter emerges in various forms, such as diversity in the lists across all user recommendation lists, referred to as aggregate diversity, and diversity in the lists of individuals, known as individual diversity. In this paper, we tackle the combination of these three objectives and justify this approach by showing through experiments that handling these objectives in pairs does not yield satisfactory results in the third one. To that end, we develop a mathematical model that is formulated using multiobjective optimization approaches. To cope with the intractability of this nonlinear integer programming model, its special structure is exploited by a decomposition technique. For the solution of the resulting formulation, we propose an iterative framework that is composed of a clique-generating genetic algorithm, a constructive heuristic, and an improvement heuristic. The former is designed to incorporate all objective functions into the generated cliques and specifically impose a certain level of individual diversity, whereas the latter chooses one clique for each user such that the desired aggregate diversity level is fulfilled. We conduct experiments on three data sets and show that the proposed modeling approach successfully handles all objectives according to the needs of the system and that the proposed methodology is capable of yielding good upper bounds. "</v>
          </cell>
          <cell r="E530" t="str">
            <v>COMPUTER SCIENCE, INTERDISCIPLINARY APPLICATIONS|OPERATIONS RESEARCH &amp; MANAGEMENT SCIENCE</v>
          </cell>
          <cell r="F530" t="str">
            <v>recommender systems,individual diversity,aggregate diversity,multiobjective optimization,genetic algorithm</v>
          </cell>
          <cell r="H530" t="str">
            <v>Q3</v>
          </cell>
        </row>
        <row r="531">
          <cell r="B531" t="str">
            <v>10.12944/CRNFSJ.9.1.15</v>
          </cell>
          <cell r="C531" t="str">
            <v>"Muffins are desirable bakery products both for their sensorial properties and for ease to be baked with numerous ingredients. Flours of date seed (D), oat bran (O) and quinoa (Q) with different insoluble dietary fibre contents were used in this study, as substitutions to wheat flour either individually (10%, w/w) or as combinations (5% each, w/w) in muffin samples. Suggested combined usage of ingredients aimed to increase the dietary fibre content of muffins while pertaining their overall quality attributes. Total moisture, ash and protein, dietary fibre, weight loss %, volume, specific volume, weight, colour and textural parameters were tested. Results revealed that, quinoa and oat bran flour substituted samples (QO) had the highest cake volume (84.5 ml) and specific volume (2.63 ml/g). Date seed and quinoa flour substitution (DQ) was the best combination with the closest hardness values to control (muffins with 100% wheat flour) samples (0.6 N), rather than an increase. Springiness (2.40 N) and cohesiveness (0.81 mm) were also close to that of control. Samples having date seed flour and quinoa (DQ) and date seed flour and oat bran flour (DO), had also the highest fibre contents, respectively. Thus, combining different fibrous ingredients instead of using them individually efficiently prevented the muffin quality loss. The best combination achieved was the date seed flour with quinoa flour (DQ) giving promising results to achieve healthier muffin production."</v>
          </cell>
          <cell r="E531" t="str">
            <v>FOOD SCIENCE &amp; TECHNOLOGY</v>
          </cell>
          <cell r="F531" t="str">
            <v>Alternative Flour Sources,Bakery,Dietary Fibre,Muffin</v>
          </cell>
          <cell r="H531" t="str">
            <v>Q4</v>
          </cell>
        </row>
        <row r="532">
          <cell r="B532" t="str">
            <v>10.12989/csm.2021.10.2.123</v>
          </cell>
          <cell r="C532" t="str">
            <v>". The paper deals with the study of the dispersion of quasi-Lamb waves in a hydro-elastic system consisting of an elastic plate, barotropic compressible inviscid fluid, and rigid wall. The motion of the plate is described using the exact equations of elastodynamics, however, the flow of the fluid using the linearized equations and relations of the Navier-Stokes equations. The corresponding dispersion equation is obtained and this equation is solved numerically, as a result of which the corresponding dispersion curves are constructed. The main attention is focused on the effect of the presence of the fluid and the effect of the fluid layer thickness (i.e., the fluid depth) on the dispersion curves. The influence of the problem parameters on the dispersion curves related to the quasi-Scholte wave is also considered. As a result of the analyses of the numerical results, concrete conclusions are made about the influence of the fluid depth, the rigid wall restriction on the fluid motion, and the material properties of the constituents on the dispersion curves. During the analyses, the zeroth and the first four modes of the propagating waves are considered."</v>
          </cell>
          <cell r="E532" t="str">
            <v>MECHANICS</v>
          </cell>
          <cell r="F532" t="str">
            <v>quasi-lamb waves,wave dispersion,quasi-Scholte waves,elastic layer,hydro-elastic system,compressible inviscid fluid</v>
          </cell>
          <cell r="H532" t="str">
            <v>Q3</v>
          </cell>
        </row>
        <row r="533">
          <cell r="B533" t="str">
            <v>10.12996/gmj.2022.11</v>
          </cell>
          <cell r="C533" t="str">
            <v>"Objective: Detailed anatomical knowledge of the accessory tendons of the dorsal compartments of the wrist is crucial for understanding the effects of tendon injury due to external trauma or rupture. This study was performed to investigate the variations of the extensor compartments of the wrist and a relation between the thickness of extensor digiti minimi (EDM) and abductor pollicis longus (APL) tendons and accessory extensor digiti quinti proprius (EDQP) slip to the little finger. Methods: Fourteen fixed wrists of adult cadavers were dissected. The tendon variations in the extensor compartments of the wrist and their abnormal insertion sites were recorded, and the number, length, width, and type of accessory tendons were also recorded. Results: A double tendon of the extensor digiti minimi was detected in one female cadaver out of the 14 fixed cadavers. Ulnar and radial tendons of the EDM were detected in the right wrist of one female cadaver. The radial tendon was accepted as an accessory EDQP but did not join the extensor digitorum (ED), and the ulnar tendon was normal. Four out of fourteen wrists (28.5%) had APL tendon variations. The lateral was accepted as the main APL and the medial as the accessory tendon. A thin accessory tendon was detected from the extensor carpi ulnaris (ECU) at the ulnar styloid process. Conclusion: Tendon variations of the dorsal compartments of the wrist and the relationship between the ED slip and accessory tendons should be considered when planning surgical treatment. The presence of accessory tendons might assist in finding alternative tendon sources for tendon grafts."</v>
          </cell>
          <cell r="E533" t="str">
            <v>MEDICINE, GENERAL &amp; INTERNAL</v>
          </cell>
          <cell r="F533" t="str">
            <v>Variation,accessory tendon,extensor digiti minimi,extensor carpi ulnaris,abductor pollicis longus,wrist</v>
          </cell>
          <cell r="H533" t="str">
            <v>Q4</v>
          </cell>
        </row>
        <row r="534">
          <cell r="B534" t="str">
            <v>10.12998/wjcc.v10.i20.7184</v>
          </cell>
          <cell r="C534" t="str">
            <v>"The present letter to the editor is related to the study entitled â€œMultidrug-resistant organisms in intensive care units and logistic analysis of risk factors.â€ Not every microorganism grown in samples taken from critically ill patients can be considered as an infectious agent. Accurate and adequate information about nosocomial infections is essential in introducing effective prevention programs in hospitals. Therefore, the development and implementation of care bundles for frequently used medical devices and invasive treatment devices (e.g., intravenous catheters and invasive ventilation), adequate staffing not only for physicians, nurses, and other medical staff but also for housekeeping staff, and infection surveillance and motivational feedback are key points of infection prevention in the intensive care unit."</v>
          </cell>
          <cell r="E534" t="str">
            <v>MEDICINE, GENERAL &amp; INTERNAL</v>
          </cell>
          <cell r="F534" t="str">
            <v>Critical care,Prevention,Intensive care unit,Nosocomial infection,Detection</v>
          </cell>
          <cell r="H534" t="str">
            <v>Q4</v>
          </cell>
        </row>
        <row r="535">
          <cell r="B535" t="str">
            <v>10.1308/rcsann.2021.0225</v>
          </cell>
          <cell r="C535" t="str">
            <v>"Introduction Voice and swallowing symptoms are frequently reported after thyroidectomy even without laryngeal nerve injury. We aimed to evaluate the effect of strap muscle transection on voice and swallowing outcome after thyroidectomy. Methods Group 1 (G1) consisted of 17 patients who had their strap muscles transected during thyroidectomy and group 2 (G2) consisted of 17 patients who had their strap muscles preserved during thyroidectomy. None of the patients had laryngeal nerve injury. Voice impairment scores (VIS) and swallowing impairment scores (SIS) were obtained preoperatively and at 1 week and 1, 3 and 6 months postoperatively. Pre- and postoperative vocal cord examinations were performed for all patients. The external branch of the superior laryngeal nerve (EBSLN) was evaluated by intraoperative cricothyroid muscle electromyography. Results There was no significant difference in VIS and SIS between the two groups. At postoperative week 1, the VIS and SIS for each group were above preoperative values (G1: pâ€‰=â€‰0.005 and pâ€‰=â€‰0.035; G2: pâ€‰=â€‰0.031, pâ€‰=â€‰0.346, for VIS and SIS respectively). The VIS and SIS scores at 6 months postoperatively were significantly lower than those of the first week postoperatively (G1: pâ€‰=â€‰0.04 and pâ€‰=â€‰0.001; G2: pâ€‰=â€‰0.022 and pâ€‰=â€‰0.034 respectively) and similar to preoperative values (G1: pâ€‰=â€‰0.924 and pâ€‰=â€‰0.086; G2: pâ€‰=â€‰0.822 and pâ€‰=â€‰0.187 respectively). Conclusion Although voice and swallowing complaints increased in the early postoperative period even without recurrent laryngeal nerve and EBSLN injuries, these symptoms are not related with the strap muscle transection. "</v>
          </cell>
          <cell r="E535" t="str">
            <v>SURGERY</v>
          </cell>
          <cell r="F535" t="str">
            <v>Thyroidectomy,Voice and swallowing complaints,Strap muscle transection</v>
          </cell>
          <cell r="H535" t="str">
            <v>Q3</v>
          </cell>
        </row>
        <row r="536">
          <cell r="B536" t="str">
            <v>10.13164/re.2021.0617</v>
          </cell>
          <cell r="C536" t="str">
            <v>"In this work, an affordable solution for the improved performance of circular polarization diversity array antenna by helping metasurface structure (MTS) is presented. The basic structure includes a multi-input feed network which is ended to a 2Ã—5 sequentially rotated subarray. A layer of MTS has been used to modify basic antenna characteristics of inspiring ref. [5]. This innovation is aimed to increase the bandwidth of basic antenna from 14.7% (5.05â€“5.85 GHz) to 37.8% (4.5â€“ 6.6 GHz), and 3-dB AR about 4%. Employing MTS layer leads to an increase in the gain of the antenna to 15 dBic. More details of the antenna are reported in the text."</v>
          </cell>
          <cell r="E536" t="str">
            <v>ENGINEERING, ELECTRICAL &amp; ELECTRONIC</v>
          </cell>
          <cell r="F536" t="str">
            <v>CP,metasurface,polarization diversity</v>
          </cell>
          <cell r="H536" t="str">
            <v>Q4</v>
          </cell>
        </row>
        <row r="537">
          <cell r="B537" t="str">
            <v>10.13168/cs.2023.0049</v>
          </cell>
          <cell r="C537" t="str">
            <v>"This study aimed to evaluate the effect of thermal ageing on the Vickers microhardness, fracture toughness and surface microstructures of four CAD-CAM dental ceramic materials. Specimens of a polymer-infiltrated ceramic network (PICN) (ENA; Vita Enamic), a resin nano-ceramic (CERA; GC Cerasmart), a zirconia-reinforced lithium silicate (ZLS) ceramic (DUO; Celtra Duo), and polycrystalline zirconia (ZIR; IPS e.max ZirCAD) were prepared (n=10). Each test was subjected to a thermocycling process (5 to 55 Â°C, 20 s, 10,000 cycles). The Vickers microhardness and fracture toughness were measured and re-evaluated after the thermal ageing. Surface microstructures were observed by scanning electron microscopy. Statistical analyses were performed using the paired sample t-test and the Wilcoxon test (Î±=0.05). ENA and CERA exhibited a decrease in the microhardness after ageing. The microhardness change of ENA was more significant than DUO. ENA, DUO and ZIR showed a decrease in the fracture toughness. The change in the fracture toughness of ZIR was more significant than ENA, CERA, and DUO. ENA and CERA did not exhibit a stable image on the microscopic evaluation. The microhardness and fracture toughness of the CAD-CAM ceramics were influenced by ageing. Clinicians should consider how well the materials they use can adapt to the oral environment and choose the material accordingly."</v>
          </cell>
          <cell r="E537" t="str">
            <v>MATERIALS SCIENCE, CERAMICS</v>
          </cell>
          <cell r="F537" t="str">
            <v>Computer-aided design,Hardness,Dental materials,Materials science</v>
          </cell>
          <cell r="H537" t="str">
            <v>Q4</v>
          </cell>
        </row>
        <row r="538">
          <cell r="B538" t="str">
            <v>10.1369/00221554231170662</v>
          </cell>
          <cell r="C538" t="str">
            <v>" Preeclampsia is a complication of pregnancy that affects 3â€“5% of pregnancies and is one of the major causes of maternal/neonatal mortality and morbidities worldwide. We aimed to investigate the distribution of Foxp3+ regulatory T-cells and CD68+ Hofbauer cells in the placenta of preeclamptic and healthy pregnant women with a special focus on correlating these findings with placental histology. Decidua and chorionic villi of the placenta obtained from healthy and preeclamptic pregnancies were evaluated in full-thickness sections. Sections were stained with hematoxylin and eosin and Massonâ€™s trichrome and immunostained for Foxp3 and CD68 for histological analyses. The total histomorphological score for placentas was found to be higher in preeclamptic placentas than that in the controls. The CD68 immunoreactivity was higher in the chorionic villi of preeclamptic placentas than that in the controls. The immunoreactivity of Foxp3 was found widely distributed within the decidua in both the groups and did not differ significantly. Interestingly, Foxp3 immunoreactivity in the chorionic villi was found mainly in the villous core and, to a lesser extent, in the syncytiotrophoblasts. We found no significant relation between Foxp3 expressions and morphological changes observed in preeclamptic placentas. Although extensive research is being carried out regarding the pathophysiology of preeclampsia, the findings are still controversial. "</v>
          </cell>
          <cell r="E538" t="str">
            <v>CELL BIOLOGY</v>
          </cell>
          <cell r="F538" t="str">
            <v>CD68,Foxp3,histomorphology,placenta,preeclampsia</v>
          </cell>
          <cell r="H538" t="str">
            <v>Q3</v>
          </cell>
        </row>
        <row r="539">
          <cell r="B539" t="str">
            <v>10.1371/journal.pone.0285032</v>
          </cell>
          <cell r="C539" t="str">
            <v>"Background/ObjectivesThis study aimed to investigate the level of physical literacy among late adolescents according to the current physical activity level and to examine the relationship between current physical activity, barriers to engaging in physical activity, and enjoyment of physical activity and physical literacy.MethodsA total of 568 university students (405 women) aged from 18 to 20 were involved in this study. The physical literacy, physical activity level, enjoyment from activity, and barriers to physical activity were assessed with the Perceived Physical Literacy Instrument (PPLI), the International Physical Activity Questionnaireâ€“Short Form (IPAQâ€“SF), Physical Activity Enjoyment Scale (PACES), and the Physical Activity Barriers Questionnaire (PABQ), respectively. Multinomial and binary logistic regression analyses were employed to explore the association between physical literacy and physical activity level.ResultsHighly physically active adolescents had better scores on the PPLI, PACES, and PABQ than moderately active and inactive participants. The PPLI total score was significantly moderately correlated with PACES total, positive, and negative scores and the PABQ score. There were significant poor correlations between the IPAQ-MET value and the PPLI scores. Adjusted logistic regression analysis revealed the PPLI total score and the PACES positive sub-scale scores, and gender (men) were associated with being highly active relative to moderately active.ConclusionsThe findings highlight the evidence that physical literacy, gender, and enjoyment from activity can be determinants of high or moderate physical activity levels. Therefore, improving physical literacy among late adolescence may be key to achieving increased physical activity level."</v>
          </cell>
          <cell r="E539" t="str">
            <v>MULTIDISCIPLINARY SCIENCES</v>
          </cell>
          <cell r="H539" t="str">
            <v>Q2</v>
          </cell>
        </row>
        <row r="540">
          <cell r="B540" t="str">
            <v>10.1386/cc_00061_1</v>
          </cell>
          <cell r="C540" t="str">
            <v>"\nThe Magnificent Century series, which was aired in more than 70 countries after its screening in Turkey, narrates the events of the most powerful period of the Ottoman empire (sixteenth century). The series, which was popular from the first episode, has received various criticism from many angles. In particular, the historical reliability of the series has been questioned the most on a local scale. The article aims to interpret the movement called HÃ¼rrem Sultan fashion that emerged through the hybridization of time and space in the female charactersâ€™ costume, hair and make-up design as a significant component of global audience attraction in the wider context of the historiographical performance of fictional narratives."</v>
          </cell>
          <cell r="E540" t="str">
            <v>HUMANITIES, MULTIDISCIPLINARY</v>
          </cell>
          <cell r="F540" t="str">
            <v>Hurrem fashion,Ottoman clothing,Turkish soap operas,Turkish TV series,The Magnificent,Century,costumes of historical,series</v>
          </cell>
          <cell r="H540" t="str">
            <v>Q1</v>
          </cell>
        </row>
        <row r="541">
          <cell r="B541" t="str">
            <v>10.1386/ffc_00048_1</v>
          </cell>
          <cell r="C541" t="str">
            <v>"The historical drama series, The Club (2021â€“22), narrating the story of a nightclub at the centre of Istanbul nightlife during the 1950s, achieved great success by becoming the eighth most-watched non-English-language series on an international digital streaming platform. The significant public affirmation the series gained rose on the representation of the leading character â€“ the nightclub star. He directly refers to respected queer singer Zeki MÃ¼ren (1931â€“96). MÃ¼ren has been credited as the greatest performer in Turkey and a modern male icon with his artistic excellence in singing and his outstanding stage performances for over 40 years. He designed his own costumes as well as those of his musicians, the dÃ©cor for his performances and the choreography of the dancers. MÃ¼ren appeared on his stage in black tuxedos, suits with sparkling accessories or even mini-skirts with platform shoes. He was aware of the taboos on homosexuality and how this might have affected him. Although his sexuality was in question, his sex never was. He was, after all, an exemplary male citizen of the Turkish Republic with his kindness to his audience, his charity works, his artistic status. Many fans, including the media, referred to him as a pasha, a heroic military commander, to express that he was the most influential artist in Turkey. The referential association of the fictional character with Zeki MÃ¼ren will be interpreted in the article to further discuss the portrayal of the queer performance in the series. For this purpose, the article will introduce the conceptualization of nonosh, a polite yet explicit contempt, and present an embraceable form of queer identity in Turkish society to define the common portraiture of queer in Turkish popular films and TV shows."</v>
          </cell>
          <cell r="E541" t="str">
            <v>HUMANITIES, MULTIDISCIPLINARY</v>
          </cell>
          <cell r="F541" t="str">
            <v>cinema in Turkey,queer performance,nonosh,Zeki Muren,The Club,stardom</v>
          </cell>
          <cell r="H541" t="str">
            <v>Q1</v>
          </cell>
        </row>
        <row r="542">
          <cell r="B542" t="str">
            <v>10.1386/macp_00037_1</v>
          </cell>
          <cell r="C542" t="str">
            <v>"The article lays out the only three European cinematic waves that emerged in the first twenty years of the twenty-first century and examines them in relation to their sociopolitical context. The way in which these particular contexts have influenced the production of the films, the thematic and aesthetic explorations of the filmmakers and their presence within the wider cinematic spectrum is detailed in the analysis. The New French Extremity, the Romanian New Wave and the Greek Weird Wave are thus considered as significant manifestations of anxieties and concerns relating to the particular historical moment in each respective country."</v>
          </cell>
          <cell r="E542" t="str">
            <v>COMMUNICATION</v>
          </cell>
          <cell r="F542" t="str">
            <v>cinematic waves,European cinema,France,Greece,Romania,postsocialism,identity,Grexit</v>
          </cell>
          <cell r="H542" t="str">
            <v>Q4</v>
          </cell>
        </row>
        <row r="543">
          <cell r="B543" t="str">
            <v>10.14235/bas.galenos.2021.5544</v>
          </cell>
          <cell r="C543" t="str">
            <v>"ABSTRACT"</v>
          </cell>
          <cell r="E543" t="str">
            <v>MEDICINE, GENERAL &amp; INTERNAL</v>
          </cell>
          <cell r="F543" t="str">
            <v>Algan,hemostasis,femoral artery,rat</v>
          </cell>
          <cell r="H543" t="str">
            <v>Q4</v>
          </cell>
        </row>
        <row r="544">
          <cell r="B544" t="str">
            <v>10.14238/pi62.4.2022.223-31</v>
          </cell>
          <cell r="C544" t="str">
            <v>"Background: We aimed to determine the course of serum creatinine (sCr), serum cystatin C (sCysC) and urine cystatin C (uCysC) levels and calculate estimated glomerular filtration rate (eGFR) by using sCr- and sCysC-based formulas in preterm infants in the first 28 days of life.\r\nMethods: A total of 52 neonates were included in this prospective study. According to gestational age (GA), the neonates were divided into three groups. Group 1 composed of neonates who were born Ã¢â€°Â¤28 weeks (n=15), group 2 and 3 consisted of infants who were born 29-31 weeks (n=16) and 32-34 weeks (n=21), respectively. Blood and urine samples were obtained at the 24-48 hours of life and then weekly until 28th day of life. sCr- and sCysC-based formulas were applied to determine the value and course of eGFR.\r\nResults: sCr level was negatively correlated with GA (r=-0.36, p=0.014) but not with BW (r=-0.15, p=0.31). While sCr levels showed significant variations in all study groups on day 7, day 14, and day 21 however, sCysC did not differ by GA at any time-points. All study groups had significantly different uCysC levels, except day 28. eGFR results calculated with sCr-based formula were detected to be closer to inulin.\r\nConclusion: In preterm infants, sCr seemed to be a more reliable marker than sCysC to calculate eGFR. Moreover, in the same population, uCysC levels may reflect renal maturation more than sCysC."</v>
          </cell>
          <cell r="E544" t="str">
            <v>PEDIATRICS</v>
          </cell>
          <cell r="F544" t="str">
            <v>estimated glomerular filtration rate,preterm infants,serum creatinine,serum cystatin-C</v>
          </cell>
          <cell r="H544" t="str">
            <v>Q4</v>
          </cell>
        </row>
        <row r="545">
          <cell r="B545" t="str">
            <v>10.14245/ns.2346122.061</v>
          </cell>
          <cell r="C545" t="str">
            <v>"Objective: The aim of this study was to emphasize on the interaction of spatial and temporal gait parameters and analyse the gait asymmetry in the patients with lumbar disc herniation (LDH) before and after microdiscectomy.Methods: This was a prospective, observational study conducted on 59 cases of LDH planned for lumbar microdiscectomy, and healthy control group with 54 participants for analysis was performed prior to surgery and 15 days after surgery. The spatiotemporal gait parameters were measured using a â€œWin-Trackâ€ gait analysis platform system. All the participants walked barefoot for 10 times with their normal walking speed in the same day. The 3 flawless walking data were recorded and the arithmetic means were computed. The gait symmetry index was used to calculate the walking asymmetry. The pain intensity of the patients was recorded shortly before performing the analysis by a visual analogue scale.Results: In the postoperative assessment LDH patients had significantly shorter temporal parameters, longer spatial parameters, faster walking speed, and more cadence than the preoperative assessment (p &lt; 0.05). There were improvements in the asymmetry values of the postoperative gait parameters compared to the preoperative values, but these differences were not significant (p &gt; 0.05). In addition, there was a significant difference in all parameters in terms of gait asymmetry between the postoperative assessment and the healthy controls (p &lt; 0.05).Conclusion: These results can guide the patient-specific evaluating and implementation of gait rehabilitation programs, and design protocols before or after surgery in the LDH patients."</v>
          </cell>
          <cell r="E545" t="str">
            <v>CLINICAL NEUROLOGY|SURGERY</v>
          </cell>
          <cell r="F545" t="str">
            <v>Intervertebral disc displacement,Gait analysis,Pain,Discectomy,Gait asymmetry</v>
          </cell>
          <cell r="H545" t="str">
            <v>Q1</v>
          </cell>
        </row>
        <row r="546">
          <cell r="B546" t="str">
            <v>10.14306/renhyd.25.3.1328</v>
          </cell>
          <cell r="C546" t="str">
            <v>"Introduction: The press is one of the most effective methods to provide the public with health education and to increase knowledge levels related to health in society.Nutritional advice and weight loss diets are also frequently featured in newspapers. However, diets in newspaper limit food groups and/or nutrients to achieve faster results.This study aimed to assess diet lists published in newspapers in terms of energy andnutrient contents and to compare levels with requirements.\nMaterial and Methods: From 1 February 2018 to 31 January 2019, nutritional and diet news included in 10 newspapers with high circulation in Turkey were investigated and diets published in these newspapers were investigated. The energy, macro, and micronutrient contents were compared with the Turkey Nutrition Guide recommendations.\nResults: It appeared diet lists met 55.5% of energy requirements for women and 44.5% of energy requirements for men. Carbohydrate and protein contents of diets were below recommendations, while fat contents were identified to be above-recommended levels. Dietary fiber was determined to meet 81.2% of recommendations. For micronutrients, calcium and iron contents were below recommended levels.\nConclusions: It appears weight-loss diets in newspapers are insufficient in terms of energy and some nutrients. Though these diets, which are easily accessible by a large portion of society, without expert control they may cause nutrient deficiencies in the long term."</v>
          </cell>
          <cell r="E546" t="str">
            <v>NUTRITION &amp; DIETETICS</v>
          </cell>
          <cell r="F546" t="str">
            <v>Diet,Periodical,Nutrients,Weight Loss,Newspaper</v>
          </cell>
          <cell r="H546" t="str">
            <v>Q4</v>
          </cell>
        </row>
        <row r="547">
          <cell r="B547" t="str">
            <v>10.14306/renhyd.26.3.1654</v>
          </cell>
          <cell r="C547" t="str">
            <v>"Introduction: During the new coronavirus disease 2019 (COVID 19) pandemic, food preferences and consumption behaviors of consumers began to change. This study aims to examine changes in food preferences and purchasing habits in the new normal of COVID-19 after lockdown.\nMethods: In this cross-sectional study, the anonymous online survey hosted by the forms.app was shared via social media from July to August 2021, targeting Turkish residents 18-65 years old. The questionnaire was developed based on related literature by authors. Statistical analysis was performed using IBM SPSSÂ© Statistics for Windows, version 20.0.\nResults: A total of 1033 women (90.4%) and 110 men (9.6%) participated in this study, between the ages of 26-37. During the new normal period of the pandemic, 40.3% of the participants have increased online food shopping, and 44.1% of the participants decreased food shopping via the markets, greengrocers, or local markets. While sex, age, income, marital status, and chronic disease did not differ significantly in the change in online shopping (p&gt;0.05), education level and labor status were significantly different (p&lt;0.05).\n55.6% of the participants reported that the COVID-19 pandemic affected their food choice. Purchasing of foods perceived as healthy according to participants was a lot and quite a lot as %38.7 affected by the COVID 19 pandemic. A high percentage of the participants increased their consumption of healthy foods such as foods containing vitamin C, fruits, vegetables, nuts, protein-rich foods, probiotic foods, and water consumption increased.\nConclusions: The food purchasing behavior and the consumption of foods consumed have been changed in the new normal period of COVID-19."</v>
          </cell>
          <cell r="E547" t="str">
            <v>NUTRITION &amp; DIETETICS</v>
          </cell>
          <cell r="F547" t="str">
            <v>COVID-19,Pandemics,Eating Behavior,Consumer Preference</v>
          </cell>
          <cell r="H547" t="str">
            <v>Q4</v>
          </cell>
        </row>
        <row r="548">
          <cell r="B548" t="str">
            <v>10.14393/BJ-v39n0a2023-66895</v>
          </cell>
          <cell r="C548" t="str">
            <v>"This in vitro study evaluated and compared the effects of different polymerization times on the surface microhardness, water sorption, and water solubility of flowable composite resins. Three flowable composite resins [Es Flow (ESF), IGOS Flow (IGF), Estelite Flow Quick (EFQ)] were tested in this study. Each flowable composite resin (n = 7) was polymerized in a disc-shaped mould (1x10 mm) with an LED light-curing unit (D Light Pro) for two different times (20 and 40 sec.). The top surfaces of all specimens were polished (Sof-Lex). The surface microhardnesses of the flowable composite resins were measured with a Vickers HMV microhardness tester. Water sorption and water solubility were calculated according to the ISO 4049 standard. One-way ANOVA and post hoc Tamhane, Dunnett, and Tukey tests were used in the statistical analyses. Pearsonâ€™s and Spearmanâ€™s rho correlation tests were used to assess possible correlations between the different variables. The results were evaluated with a significance of p&lt;0.05. In terms of microhardness, a significant difference was found between materials at the same polymerization times (p&lt;0.05). All materials showed water sorption of less than 40 Âµg/mm3 and water solubility of less than 7.5 Âµg/mm3 by following ISO 4049. The correlations among surface microhardness, water sorption, and water solubility showed that the differences were determined by the materials and the polymerization times. The physical properties of all flowable composite resin materials were enhanced after polymerization for twice the time recommended by the manufacturers."</v>
          </cell>
          <cell r="E548" t="str">
            <v>AGRICULTURE, MULTIDISCIPLINARY|AGRONOMY|BIOLOGY</v>
          </cell>
          <cell r="F548" t="str">
            <v>Flowable composite,Hardness,Solubility,Viscosity</v>
          </cell>
          <cell r="H548" t="str">
            <v>Q4</v>
          </cell>
        </row>
        <row r="549">
          <cell r="B549" t="str">
            <v>10.14483/22487085.17859</v>
          </cell>
          <cell r="C549" t="str">
            <v>"This study aims to investigate the relationship between emotional intelligence (EI), foreign language anxiety (FLA), and demotivational factors (DF) at a foundation university in Istanbul, Turkey. 148 B1 (intermediate level) students enrolled in the English preparatory school participated in this study. Data were collected from the Turkish-adapted version of the Emotional Intelligence Quotient Inventory (EQ-i), the translated version of the Foreign Language Classroom Anxiety Scale (FLCAS), and the Turkish preparatory school university student demotivational factors towards learning English scale. The findings revealed that the participants were moderately anxious and demotivated in foreign language learning. Moreover, a positive significant correlation was found among EI, FLA, and DF. This study provides pedagogical implications and suggestions for addressing EI, FLA, and DF in English language preparatory programs."</v>
          </cell>
          <cell r="E549" t="str">
            <v>LINGUISTICS</v>
          </cell>
          <cell r="F549" t="str">
            <v>demotivation,emotional intelligence,foreign language anxiety,EFL</v>
          </cell>
          <cell r="H549" t="str">
            <v>Q4</v>
          </cell>
        </row>
        <row r="550">
          <cell r="B550" t="str">
            <v>10.14689/enad.30.9</v>
          </cell>
          <cell r="C550" t="str">
            <v>"This study aimed to explore the perceptions of tertiary level students about e-learning and determine whether it triggers their epistemic curiosity. Semi-structured interviews were conducted with 78 undergraduate students enrolled in a foundation (non-profit, private) university in Turkey. Key thematic categories including the perceptions of motivation to seek new information in e-learning, desire to cope with challenging information in e-learning, desire to discover new, uncertain, and unpredictable information in learning, and barriers to e-learning were deduced. Digital and traditional tools emerged as motivating resources promoting curiosity in e-learning. E-learning experiences also fostered the curiosity to predict novel, risky, and uncertain information. Situational factors such as timing and workload were perceived as barriers to epistemic curiosity in e-learning. The gathered findings offered suggestions and pedagogical implications for triggering epistemic curiosity through e-learning in higher education."</v>
          </cell>
          <cell r="E550" t="str">
            <v>EDUCATION &amp; EDUCATIONAL RESEARCH</v>
          </cell>
          <cell r="F550" t="str">
            <v>E-learning,epistemic curiosity,higher education,qualitative research,interview</v>
          </cell>
          <cell r="H550" t="str">
            <v>Q4</v>
          </cell>
        </row>
        <row r="551">
          <cell r="B551" t="str">
            <v>10.14744/DAJPNS.2023.00227</v>
          </cell>
          <cell r="C551" t="str">
            <v>"Objective: Recently, non-motor symptoms are increasingly recognized in patients with essential tremors. This study evaluates essential tremor (ET) patientsâ€™ olfactory dysfunction, a notable non-motor symptom. Method: This study included 34 patients with ET and 25 healthy controls. Participants underwent nasal examinations and the Connecticut Chemosensory Clinical Research Center (CCCRC) odor test. Results: The ET patients had significantly lower CCCRC odor total scores (p=0.044) and odor threshold scores than the control group (p=0.007). However, both groups had similar CCCRC odor discrimination scores (p&gt;0.05). While not statistically significant, a positive correlation was observed between the tremor duration and odor scores (p&gt;0.05). Conclusion: Our study demonstrates the impairment of olfactory functions in ET patients, reinforcing the notion of a neurodegenerative process. Further large-scale studies examining additional non-motor symptoms could provide deeper insights into the diseaseâ€™s pathogenesis."</v>
          </cell>
          <cell r="E551" t="str">
            <v>PSYCHIATRY</v>
          </cell>
          <cell r="F551" t="str">
            <v>Essential tremor,olfaction,odor tests,neurodegeneration</v>
          </cell>
          <cell r="H551" t="str">
            <v>Q4</v>
          </cell>
        </row>
        <row r="552">
          <cell r="B552" t="str">
            <v>10.14744/SEMB.2021.26675</v>
          </cell>
          <cell r="C552" t="str">
            <v>"At present, intraoperative neuromonitorization (IONM) with surface electrode-based endotracheal tube (ETT) is a standard method in thyroidectomy and can be performed either intermittently IONM (I-IONM) or continuously IONM (C-IONM). Despite the valuable contribution of I-IONM to the thyroidectomy, it still has limitations regarding the recording electrodes and stimulation probe. New approaches for overcoming the limitations of I-IONM and developing the method are taking attention. Most of the technical issues of IONM with surface electrode-based ETT are related with inadequate contact of electrodes to the vocal cords. Nowadays, efficiency of various recording electrodes is under investigation. Recording electrodes such as needle electrodes applied to thyroarytenoid or posterior cricoarytenoid muscle (PCA), surface electrodes applied to the PCA, and needle or adhesive electrodes applied to the tracheal cartilage or skin, can make safe recordings similar to the ETT electrodes. Despite their invasiveness, needle electrodes record higher electromyography (EMG) amplitudes than tube electrodes do. Adhesive surface electrodes make safe EMG recordings, although amplitudes of these electrodes are usually lower than those of the tube electrodes. These different types of electrodes are less affected by tracheal manipulations and amplitude changes are lower compared to the tube electrodes. During C-IONM, an additional stimulation probe is applied to the vagus nerve after dissecting the nerve circumferentially. Recently, without applying a probe, a new continuous monitorization method called laryngeal adductor reflex CIONM (LAR-CIONM) using sensorial, central, and motor components of LAR arch which is an automatic, primitive brainstem reflex protecting the tracheoesophageal tree from foreign body aspiration, has been implemented. Afferent track of LAR communicates laryngeal mucosa to the brainstem by internal branch of the superior laryngeal nerve and efferent track reaches larynx through recurrent laryngeal nerve. Total outcome of LAR activation is the closure of laryngeal entry by bilateral vocal cord adduction. In LAR-CIONM, a stimulus is given by an electrode from one side of surface electrode-based ETT and amplitude response of the LAR at the vocal cord is followed on the operation side. Recently, it has been reported that real-time EMG response can be obtained with stimulation probe cables applied to dissectors or energy devices during the dissection through I-IONM."</v>
          </cell>
          <cell r="E552" t="str">
            <v>MEDICINE, GENERAL &amp; INTERNAL</v>
          </cell>
          <cell r="F552" t="str">
            <v>Electromyography,neuromonitorization,recurrent laryngeal nerve,superior laryngeal nerve</v>
          </cell>
          <cell r="H552" t="str">
            <v>Q3</v>
          </cell>
        </row>
        <row r="553">
          <cell r="B553" t="str">
            <v>10.14744/SEMB.2021.45548</v>
          </cell>
          <cell r="C553" t="str">
            <v>"The use of intraoperative neuromonitoring (IONM) is getting more common in thyroidectomy. The data obtained by the usage of IONM regarding the laryngeal nervesâ€™ anatomy and function have provided important contributions for improving the standards of the thyroidectomy. These evidences obtained through IONM increase the rate of detection and visual identification of recurrent laryngeal nerve (RLN) as well as the detection rate of extralaryngeal branches which are the most common anatomic variations of RLN. IONM helps early identification and preservation of the non-recurrent laryngeal nerve. Crucial knowledge has been acquired regarding the complex innervation pattern of the larynx. Extralaryngeal branches of the RLN may contribute to the motor innervation of the cricothyroid muscle (CTM). Anterior branch of the extralaryngeal branching RLN has always motor function and gives motor branches both to the abductor and adductor muscles. In addition, up to 18% of posterior branches may have adductor and/or abductor motor fibers. In 70â€“80% of cases, external branch of superior laryngeal nerve (EBSLN) provides motor innervation to the anterior 1/3 of the thyroarytenoid muscle which is the main adductor of the vocal cord through the human communicating nerve. Furthermore, approximately 1/3 of the cases, EBSLN may contribute to the innervation of posterior cricoarytenoid muscle which is the main abductor of ipsilateral vocal cord. RLN and/or EBSLN together with pharyngeal plexus usually contribute to the motor innervation of cricopharyngeal muscle that is the main component of upper esophageal sphincter. Traction trauma is the most common reason of RLN injuries and constitutes of 67â€“93% of cases. More than 50% of EBSLN injuries are caused by nerve transection. A specific point of injury on RLN can be detected in Type 1 (segmental) injury, however, Type 2 (global) injury is the loss of signal (LOS) throughout ipsilateral vagus-RLN axis and there is no electrophysiologically detectable point of injury. Vocal cord paralysis (VCP) develops in 70â€“80% of cases when LOS persists or incomplete recovery of signal occurs after waiting for 20 min. In case of complete recovery of signal, VCP is not expected. VCP is temporary in patients with incomplete recovery of signal and permanent VCP is not anticipated. Visual changes may be seen in only 15% of RLN injuries, on the other hand, IONM detects 100% of RLN injuries. IONM can prevent bilateral VCP. Continuous IONM (C-IONM) is a method in which functional integrity of vagus-RLN axis is evaluated in real time and C-IONM is superior to intermittent IONM (I-IONM). During upper pole dissection, IONM makes significant contributions to the visual and functional identification of EBSLN. Routine use of IONM may minimalize the risk of nerve injury. Reduction of amplitude more than 50% on CTM is related with poor voice outcome."</v>
          </cell>
          <cell r="E553" t="str">
            <v>MEDICINE, GENERAL &amp; INTERNAL</v>
          </cell>
          <cell r="F553" t="str">
            <v>Intraoperative monitoring,laryngeal nerve injuries,recurrent laryngeal nerve,thyroidectomy,vocal cord</v>
          </cell>
          <cell r="H553" t="str">
            <v>Q3</v>
          </cell>
        </row>
        <row r="554">
          <cell r="B554" t="str">
            <v>10.14744/SEMB.2021.72681</v>
          </cell>
          <cell r="C554" t="str">
            <v>"Objectives: The curative treatment of primary hyperparathyroidism (PHPT) is surgery. Persistent and recurrent disease may develop after surgical treatment. In this study, we aimed to evaluate the surgical cure rate in patients who underwent surgery for PHPT in our clinic. Methods: The data of patients who underwent parathyroidectomy for PHPT by two experienced surgeons between 2000 and 2015 in our clinic were retrospectively evaluated. Patients who were followed for at least 6 months after their first parathyroidectomy were included in the study. Surgical cure and persistent and recurrent disease rates were evaluated in patients. Results: During this period, 368 interventions were performed in 357 patients (293 F and 64 M) who were operated for PHPT in our clinic, with a mean age of 54.9Â±13.1 years. In the first surgery, 116 patients (32.5%) had bilateral neck exploration, 251 patients (67.5%) had unilateral neck exploration (UNE) or focused parathyroid surgery (FPS). In the first operation, 343 patients (96.1%) had cure, 14 patients (13 F and 1 M) remained persistent. Secondary surgical intervention was performed in 11 patients. UNE or FPS was performed to 10 patients (90.9%); partial sternotomy was performed to one patient. Ten of the patients had cure. Three of these patients had a solitary parathyroid adenoma that was not removed in the first surgery, and seven patients had a second adenoma. Four patients remained persistent (1.1%). Recurrent disease developed in four patients during follow-up (1.1%). Total cure rate was 97.8%. Conclusion: The only definitive treatment for PHPT is surgery. High surgical cure can be achieved by pre-operative evaluation and appropriate surgical planning. However, persistent PHPT may develop, especially due to double adenoma or ectopic location. Patients with persistent PHPT can be evaluated with repeat imaging methods and with appropriate surgical planning, a high cure rate can be obtained in secondary surgery, which can increase the total surgical cure rate. Recurrence rate is rare."</v>
          </cell>
          <cell r="E554" t="str">
            <v>MEDICINE, GENERAL &amp; INTERNAL</v>
          </cell>
          <cell r="F554" t="str">
            <v>Hyperparathyroidism,parathyroidectomy,persistent disease,recurrent disease</v>
          </cell>
          <cell r="H554" t="str">
            <v>Q3</v>
          </cell>
        </row>
        <row r="555">
          <cell r="B555" t="str">
            <v>10.14744/SEMB.2021.80588</v>
          </cell>
          <cell r="C555" t="str">
            <v>"Objective: It is still controversial whether performing central neck dissection (CND) in addition to total thyroidectomy (TT) increases the risk of complications. In the present study, we aimed to evaluate the effect of CND on the development of complications in differentiated thyroid cancer (DTC) compared to TT. Material and Methods: The data of 186 patients (136 females and 50 males) with a mean age of 48.73Â±14.78 (range, 17â€“82) whom were operated for DTC were evaluated retrospectively. The patients were divided into two groups; TT (Group 1) and CNDÂ±TT/Completion thyroidectomyÂ±lateral neck dissection (Group 2). Results: There were 117 (91 F, 26 M) patients in Group 1 and 69 (45 F, 24 M) patients in Group 2. Parathyroid auto transplantation (PA) was significantly higher in Group 2 compared to Group 1 (42% vs. 6%) (p=0.000). Total (58% vs. 21.4%, respectively; p=0.000) and transient hypoparathyroidism (52.2% vs. 20.5%, respectively; p=0.000) were significantly higher in Group 2 than in Group 1, but permanent hypoparathyroidism rates were statistically not significant (5.8% vs. 0.9%, respectively; p=0.064). In the multinomial logistic regression analysis, CND alone was determined as an independent risk factor for increased both total and transient hypoparathyroidism. The relative risk (RR) of CND for total hypoparathyroidism was 5.2 times increased (odds ratio [OR]: 0.192) (p=0.007), while the RR for transient hypoparathyroidism was 3.5 times increased (OR: 0.285) (p=0.036). According to the number of nerves at risk, CND was performed in 119 neck side and only thyroidectomy was performed in 253 neck side. Total vocal cord paralysis (VCP) rate (9 [7.6%] vs. 6 [2.4%], respectively) (p=0.017) and transient VCP rate (7 [6%] vs. 4 [1.6%], respectively) (p=0.021) in patients who underwent CND were significantly higher compared to those who underwent only thyroidectomy. In multinomial logistic regression analysis performing only CND was an independent risk factor for total VCP, and increased the total VCP RR approximately 5.34 times (OR:0.184; p=0.007). Conclusion: Although CND can be applied without increasing the rates of permanent hypoparathyroidism and VCP compared to TT, it increases the risk of total and transient hypoparathyroidism, total, and transient VCP. Patients undergoing CND should be followed carefully in terms of transient hypoparathyroidism."</v>
          </cell>
          <cell r="E555" t="str">
            <v>MEDICINE, GENERAL &amp; INTERNAL</v>
          </cell>
          <cell r="F555" t="str">
            <v>Central neck dissection,complications,thyroid cancer</v>
          </cell>
          <cell r="H555" t="str">
            <v>Q3</v>
          </cell>
        </row>
        <row r="556">
          <cell r="B556" t="str">
            <v>10.14744/SEMB.2021.87120</v>
          </cell>
          <cell r="C556" t="str">
            <v>"Objectives: The objective of the study was to analyze the complications of neurosurgical operations during the COVID-19 pandemic by comparing them with the complications observed in the pre-pandemic period. Methods: Two groups were formed: (1) Patients who were operated in the 5-month period of the pandemic (Marchâ€“July 2020) and (2) those who were operated the same operations in the same period 1 year before (Marchâ€“July 2019). Demographics, characteristics, medical follow-up data, complications, and outcome compared between the groups. Results: Similar demographics were observed between the groups. The number of all neurosurgical cases and neurotrauma cases decreased by 79% and 68% in pandemic period, respectively. The rate of emergency surgeries was significantly higher in pandemic group (p&lt;0.001). The operation time was significantly longer in pandemic group (p=0.014). Total complication rate was significantly higher in pandemic group (p=0.002). Specifically, the rate of pulmonary complications was significantly higher during pandemic period (p&lt;0.001). The infection rate (p&lt;0.001), antibiotic use (p&lt;0.001), and intensive care unit stay (p=0.023) were significantly higher in pandemic group. Conclusion: During pandemic period complication rates increased and a higher risk than expected was encountered. Treatment should be performed by taking the precautions and informing the patients about additional risks."</v>
          </cell>
          <cell r="E556" t="str">
            <v>MEDICINE, GENERAL &amp; INTERNAL</v>
          </cell>
          <cell r="F556" t="str">
            <v>Complications,coronavirus disease,neurosurgical operations,pandemic</v>
          </cell>
          <cell r="H556" t="str">
            <v>Q3</v>
          </cell>
        </row>
        <row r="557">
          <cell r="B557" t="str">
            <v>10.14744/SEMB.2022.30806</v>
          </cell>
          <cell r="C557" t="str">
            <v>"The enlargement of multinodular goiter into the mediastinum through the thoracic inlet or ectopic thyroid tissues directly in the mediastinum is defined as Substernal Goiter (SG). However, there is no clear consensus in the literature on this definition. There are many definitions for SG in the literature. Most definitions are similar or overlapping. Since the thyroid is located in the neck above the thoracic inlet in its normal anatomical position, the simplest clinical definition should be preferred among the definitions regarding its descent below the thoracic inlet and adjacent to the mediastinal organs. In the American Thyroid Association guideline, SG is defined as clinical or radiological protrusion of the thyroid gland over the sternal notch or clavicle in a patient with a slightly extended neck in the supine position. SGs can be classified as primary or secondary according to their origins. In addition, there are combined SGs resulting from the enlargement of the primary SG, which is the growth of the cervical thyroid gland toward the mediastinum, and the secondary SG, which is defined as an ectopic mediastinal mass, together. We find it appropriate to define such SGs as mixed SGs. In this disease, which has the same etiology and etiopathogenesis as cervical goiter, the descent of the thyroid gland into the mediastinum due to some anatomical factors explains the physiopathology. Compression symptoms of mediastinal major vascular structures, trachea, and esophagus cause the symptoms and findings of SGs due to its localization. In addition, the relationship of SGs with possible malignancy risk and hyperthyroidism affecting the indications and methods of treatment has been discussed for a long time. In this study, we aimed to evaluate the definitions, classification, physiopathology, laboratory and imaging methods used for diagnosis, the relationship of SG with hyperthyroidism and malignancy, and briefly the treatment methods, according to the current studies from literature."</v>
          </cell>
          <cell r="E557" t="str">
            <v>MEDICINE, GENERAL &amp; INTERNAL</v>
          </cell>
          <cell r="F557" t="str">
            <v>Definitions,diagnostic methods,physiopathology,substernal goiter,treatment</v>
          </cell>
          <cell r="H557" t="str">
            <v>Q3</v>
          </cell>
        </row>
        <row r="558">
          <cell r="B558" t="str">
            <v>10.14744/SEMB.2022.56514</v>
          </cell>
          <cell r="C558" t="str">
            <v>"Goiter term is generally used for defining the enlargement of thyroid gland. Thyroid nodules are very common and some of these nodules may harbor malignancy. Multinodular goiter (MNG) disease without thyroid dysfunction is defined as non-toxic MNG. There are many factors in etiology for development of MNG. They can be classified as iodine dependent and non-iodine dependent factors basically. Beyond this basic classification, the effect of many environmental and acquired factors is also effective on the development of goiter. Many methods have described for diagnosis and treatment for non-toxic MNG. Biochemical tests, imagining methods, invasive and non-invasive methods have been used for diagnosis for many years. Each method has advantages and disadvantages, separately. Although the best method for diagnosis is still debatable, distinguishing malignant nodules from benign nodules is the first and most important step for MNG. Biochemical tests such as serum thyroid stimulating hormone (TSH) measurement, thyroid hormone measurement; and thyroid ultrasonography are used for diagnosis of MNG, traditionally. Nowadays, there are some new techniques were developed like ultrasound-elastography. Furthermore, thyroid scintigraphy may be used if there is abnormal TSH measurement. Fine-needle aspiration biopsy and some cross-sectional imaging methods (computed tomography, magnetic resonance imaging, and positron emission tomography) could be used, too. After a certain diagnosis is made, treatment options should be evaluated. Many treatment methods have been used for goiter from ancient times upon today. From non-invasive methods such as medical follow-up to invasive methods such as lobectomy or thyroidectomy are options for treatment. Patients with compression symptoms due to an enlarged thyroid gland are usually candidates for surgery. In this study, it is aimed to determine the most appropriate treatment for the patient by discussing the advantages and disadvantages of all these methods. The present review discusses definition of goiter term, etiology, epidemiology, pathogenesis, diagnostic methods, and treatment methods for nontoxic MNG."</v>
          </cell>
          <cell r="E558" t="str">
            <v>MEDICINE, GENERAL &amp; INTERNAL</v>
          </cell>
          <cell r="F558" t="str">
            <v>Etiology,non-toxic multinodular goiter,pathogenesis,treatment</v>
          </cell>
          <cell r="H558" t="str">
            <v>Q3</v>
          </cell>
        </row>
        <row r="559">
          <cell r="B559" t="str">
            <v>10.14744/epilepsi.2021.48378</v>
          </cell>
          <cell r="C559" t="str">
            <v>"Posterior reversible encephalopathy syndrome (PRES) is a syndrome characterized by various neurological findings such as headache, visual disturbances, seizures and altered consciousness, and imaging findings of edema in the posterior cerebral regions. Clinical and radiological findings are often reversible. Etiology may include hypertension, cytotoxic drugs, and autoimmune diseases. It often develops on the background of eclampsia and high blood pressure in the postpartum period. In this article, two cases of PRES, which developed under normal blood pressure values during pregnancy and postpartum period and characterized by seizure, are presented."</v>
          </cell>
          <cell r="E559" t="str">
            <v>CLINICAL NEUROLOGY</v>
          </cell>
          <cell r="F559" t="str">
            <v>Eclampsia,postpartum PRES,preeclampsia,seizure</v>
          </cell>
          <cell r="H559" t="str">
            <v>Q4</v>
          </cell>
        </row>
        <row r="560">
          <cell r="B560" t="str">
            <v>10.14744/hf.2021.2021.0014</v>
          </cell>
          <cell r="C560" t="str">
            <v>"Background and Aim: The long-term sustainability of weight loss continues to be a subject of investigation. This study was designed to examine the effects of weight loss and the long-term sustainability of lifestyle modifications among obese patients with metabolic-associated fatty liver disease (MAFLD). Materials and Methods: A total of 40 patients who were prescribed a hypocaloric diet (~500 calories reduction for each patient), and who were followed up for 12 weeks in 4 face-to-face interviews were enrolled in the study. The patients were contacted at the 36th month, and their current weight was recorded. Results: The mean weight at baseline of 87Â±13 kg decreased to 79Â±11 kg after 12 weeks of intervention (p&lt;0.001). The mean weight at the 36th month did not significantly differ from that measured at the baseline (p=0.563). The mean controlled attenuation parameter decreased from 320Â±13 dB/m to 273Â±37 dB/m (p&lt;0.001), while the median liver stiffness measurement decreased from 8.7 kPa (3.6â€“45.7 kPa) to 5.7 kPa (2.2â€“29.9 kPa) (p&lt;0.001). Conclusion: Strict follow-up through nutritional consultation can help achieve weight loss in obese patients with MAFLD. However, for long-term results, the collaboration of nutritionists and gastroenterologists is essential to prevent weight regain."</v>
          </cell>
          <cell r="E560" t="str">
            <v>GASTROENTEROLOGY &amp; HEPATOLOGY</v>
          </cell>
          <cell r="F560" t="str">
            <v>Diet sustainability,fibrosis,metabolic-associated fatty liver disease</v>
          </cell>
          <cell r="H560" t="str">
            <v>Q4</v>
          </cell>
        </row>
        <row r="561">
          <cell r="B561" t="str">
            <v>10.14744/hf.2021.2021.0035</v>
          </cell>
          <cell r="C561" t="str">
            <v>"Background and Aim: This study examined the effects of black cumin seed oil treatment on oxidative stress and the expression of radixin and moesin in the liver of experimental diabetic rats. Materials and Methods: Eighteen rats were divided into 3 equal groups (control, diabetes, treatment). The control group was not exposed to any experimental treatment. Streptozotocin was administered to the rats in the diabetes and treatment groups. A 2.5 mL/kg dose of black cumin seed oil was administered daily for 56 days to the treatment group. At the conclusion of the experiment, the blood level of malondialdehyde (MDA) and glutathione (GSH) was measured. The expression level and the cellular distribution of radixin and moesin in the liver were analyzed. Results: The plasma MDA (3.05Â±0.45 nmol/mL) and GSH (78.49Â±20.45 Î¼mol/L) levels in the diabetes group were significantly different (p&lt;0.01) from the levels observed in the control group (MDA: 1.09Â±0.31 nmol/mL, GSH: 277.29Â±17.02 Î¼mol/L) and the treatment group (MDA: 1.40Â±0.53 nmol/mL, GSH: 132.22Â±11.81 Î¼mol/L). Immunohistochemistry and western blotting analyses indicated that while the level of radixin was not significantly between the groups (p&gt;0.05) and moesin expression was significantly downregulated (p&lt;0.05) in the experimental group, the treatment was ineffective. Conclusion: The administered dose was sufficient to prevent oxidative stress, but was not sufficient to alleviate the effects of diabetes on moesin expression in hepatic sinusoidal cells."</v>
          </cell>
          <cell r="E561" t="str">
            <v>GASTROENTEROLOGY &amp; HEPATOLOGY</v>
          </cell>
          <cell r="F561" t="str">
            <v>Diabetes,liver,moesin,radixin,rat</v>
          </cell>
          <cell r="H561" t="str">
            <v>Q4</v>
          </cell>
        </row>
        <row r="562">
          <cell r="B562" t="str">
            <v>10.14744/hf.2021.2021.0040</v>
          </cell>
          <cell r="C562" t="str">
            <v>"Background and Aim: In this study, we aimed to assess the hemostatic and histopathological impacts of the Algan hemostatic agent (AHA) with the liver injury model. Materials and Methods: 24 male rats, 10-12 week old, were randomly divided into three equal groups (n=8) as control (physiological saline solution), AHA liquid and AHA powder. A total of three iatrogenic cut injuries were performed on the anterior surface of the left liver lobe. After bleeding started, sponges soaked with physiological saline, AHA liquid, AHA powder were gently pressed on the injured area for 20 seconds in corresponding groups, respectively. The bleeding time was measured with a timer. Failure to stop bleeding after three consecutive applications was considered as a failure. Animals were euthanized at the tenth minute of the procedure. Left liver lobes were removed for histopathological examination. Results: Bleeding control success rates of AHA liquid were significantly higher than that of the AHA powder group, and both forms were more effective than physiological saline. A superficial thick granulation tissue with entrapped powder residual materials was detected in the AHA powder group. Liver parenchyma was intact in liquid and powder groups. Conclusion: AHA is a fast-acting and applicable hemostatic agent in the liver bleeding model. However, further comparative studies in various organs are needed."</v>
          </cell>
          <cell r="E562" t="str">
            <v>GASTROENTEROLOGY &amp; HEPATOLOGY</v>
          </cell>
          <cell r="F562" t="str">
            <v>Algan hemostatic agent,injury,trauma,liver,rat</v>
          </cell>
          <cell r="H562" t="str">
            <v>Q4</v>
          </cell>
        </row>
        <row r="563">
          <cell r="B563" t="str">
            <v>10.14744/hf.2022.2022.0004</v>
          </cell>
          <cell r="C563" t="str">
            <v>"Background and Aim: Hyaluronic acid (HA), a fundamental component of the extracellular matrix, is associated with chronic liver diseases. The aim of this study was to investigate quantitative HA measurement as a noninvasive marker for steatosis and fibrosis staging in nonalcoholic fatty liver disease (NAFLD) with biopsy evidence. Materials and Methods: In this study, 52 NAFLD patients with biopsy evidence and who met the inclusion criteria were included. Hepatic enzyme levels, HA levels, and other laboratory findings were examined. In addition, the degree of steatosis was determined via computed tomography (CT). Results: According to the degree of steatosis, HA levels were 29.17Â±22.66, 39.85Â±60.28, and 32.05Â±19.40, respectively, and no significant difference was found between the groups (p=0.584). In addition, HA levels were not found to be significant according to the degrees of steatohepatitis (p=0.860). However, a statistically significant relationship was found between steatosis levels detected by CT and biopsy (p&lt;0.01). Conclusion: Serum HA level, other biochemical parameters, and steatosis severity measurement via CT did not appear to have any diagnostic value for nonalcoholic steatohepatitis. In this context, novel markers that may be useful for NAFLD diagnosis and severity assessment in risky individuals should be investigated."</v>
          </cell>
          <cell r="E563" t="str">
            <v>GASTROENTEROLOGY &amp; HEPATOLOGY</v>
          </cell>
          <cell r="F563" t="str">
            <v>Computed tomography,hyaluronic acid,nonalcoholic fatty liver disease</v>
          </cell>
          <cell r="H563" t="str">
            <v>Q4</v>
          </cell>
        </row>
        <row r="564">
          <cell r="B564" t="str">
            <v>10.14744/nci.2022.09699</v>
          </cell>
          <cell r="C564" t="str">
            <v>"OBJECTIVE Our goal in this study is to analyze the correlation between papillary thyroid cancer (PTC) with elevated thyroid-stimulating hormone (TSH) levels and deficiency of vitamin D. METHODS Patients who underwent thyroidectomy, also with available vitamin D test results preoperatively, were included in the study. The patients were separated into two different categories as having papillary thyroid carcinoma (Group 1), benign diseases (Group 2). According to the TSH (mUI/mL) level and vitamin D values, patients were categorized into four quarters. RESULTS Preoperatively, TSH level (meanÂ±SDmUI/mL) was higher in Group 1 (2.04Â±1.55) compared to Group 2 (1.82Â±1.94) significantly (p=0.029). Preoperatively, vitamin D levels (meanÂ±SD) were higher in Group 1 (15.88Â±10.88) than in Group 2 (12.94Â±10.26) significantly (p=0.011). There was no significant difference between Group 1 and Group 2 according to the vitamin D deficiency (65.5%, 72.8%; respectively (p=0.472)). When categorized with reference to pre-operative vitamin D levels, the proportion of patients in Group 2 and Category 1 was higher significantly (p=0.031). CONCLUSION Although the pre-operative TSH level was significantly higher in papillary thyroid carcinoma than benign thyroid diseases, the categorical distributions of the patients according to the TSH value were similar and the TSH values overlapped. Pre-operative mean vitamin D levels were similar in both PTC and benign thyroid disease groups so PTC was not associated with vitamin D deficiency."</v>
          </cell>
          <cell r="E564" t="str">
            <v>MEDICINE, GENERAL &amp; INTERNAL</v>
          </cell>
          <cell r="F564" t="str">
            <v>Papillary thyroid cancer,thyroid-stimulating hormone,vitamin D deficiency</v>
          </cell>
          <cell r="H564" t="str">
            <v>Q3</v>
          </cell>
        </row>
        <row r="565">
          <cell r="B565" t="str">
            <v>10.14744/nci.2022.20788</v>
          </cell>
          <cell r="C565" t="str">
            <v>"OBJECTIVE With the prolongation of the average life expectancy worldwide, diseases including dermatological disorders of the elderly are gaining importance. The presence of comorbidities in this age group may affect the treatment strategies; compliance with follow-up and adherence to medication can be poor. The aim of this study is to evaluate the dermatological disorders of patients aged 65 and over and determine their adherence to dermatologic treatment. METHODS A retrospective and cross-sectional study was conducted on patients aged 65 and over applied to a single tertiary dermatology clinic between April 2021 and April 2022. Diagnoses were that clinical and diagnostic tests were performed when only necessary. RESULTS A total of 207 admissions to the dermatology clinic by 135 patients were evaluated. Eczema (23.05%) and infections (25.2%) were the most common dermatological diagnoses. The percentage of patients with precancerous and cancerous lesions was 11.9%. Among 123 patients who need at least a follow-up visit, only 37 patients (30.1%) applied for follow-up as advised, and medicines were taken regularly by 23 of these patients (62.2%). Compliance with follow-up was lower among men (OR 0.365, 95% CI 0.160â€“0.834, and p=0.02) and patients who were treated only with local therapy agents (OR 0.345, 95% CI 0.138â€“0.863, and p=0.20). CONCLUSION Eczema and infections were the most common dermatological diagnoses among geriatric patients in the present study. The majority of geriatric patients with skin conditions were not applying for follow-up visits. Women and patients treated with systemic therapy agents were more compliant. The prevalence of basal cell carcinoma was not low, and this emphasizes the importance of a careful dermatological examination regardless of primary complaint in this age group."</v>
          </cell>
          <cell r="E565" t="str">
            <v>MEDICINE, GENERAL &amp; INTERNAL</v>
          </cell>
          <cell r="F565" t="str">
            <v>Basal cell carcinoma,eczema,geriatric,skin disorders,treatment</v>
          </cell>
          <cell r="H565" t="str">
            <v>Q3</v>
          </cell>
        </row>
        <row r="566">
          <cell r="B566" t="str">
            <v>10.14744/phd.2021.52386</v>
          </cell>
          <cell r="C566" t="str">
            <v>"Objectives: The outbreak of coronavirus 2019 (COVID-19) quickly reached pandemic status. The aim of this study was to examine the prevalence of anxiety, the factors affecting anxiety, and the relationship between anxiety and perceived social support during the early period of the pandemic in TÃ¼rkiye. Methods: A total of 405 females and 127 males (n=532) were enrolled in the study. The age range of the participants was 18-73 years, with a mean age of 30.95 years. A demographic information form, the Beck Anxiety Inventory, and the Multidimensional Scale of Perceived Social Support were used to collect data using an online format. Since the data did not show normal distribution, the Mann-Whitney U test, the Kruskal-Wallis test, and the Spearman correlation coefficient were utilized in the analysis. Results: The findings indicated that 77.8% of the individuals participating in the study had a mild level of anxiety, 10.3% demonstrated a moderate level of anxiety, and 11.8% displayed a severe level of anxiety. The female participants had a higher level of anxiety than the male respondents. The anxiety level of those who constantly followed the news about the virus and those who only partially implemented the precautions suggested by the experts was high. The length of time spent at home in self-isolation and changes to work conditions did not create a significant difference in the level of anxiety. A negative correlation was observed between anxiety and perceived social support from family and friends, however, support from another significant person, such as a fiancÃ©, was not significant. Conclusion: The pandemic had a negative impact on mental health;however, social support played a protective role. Various examples from the literature are provided to provide relevant context. Â© 2022 by Journal of Psychiatric Nursing."</v>
          </cell>
          <cell r="E566" t="str">
            <v>PSYCHIATRY</v>
          </cell>
          <cell r="F566" t="str">
            <v>Anxiety,COVID-19,pandemic,perceived social support</v>
          </cell>
          <cell r="H566" t="str">
            <v>Q4</v>
          </cell>
        </row>
        <row r="567">
          <cell r="B567" t="str">
            <v>10.14744/tjtes.2022.77315</v>
          </cell>
          <cell r="C567" t="str">
            <v>"ABSTRACT High-energy ballistic injuries may cause comminuted facial fractures. Treatment of such fractures might be challenging because of infection and soft- and hard-tissue loss. These cases may not be amenable to open reduction and internal fixation. We present 2 cases of gunshot fractures, for which external fixation was used as a surgical step before definitive treatment. With the use of external fixation, existing infection had been controlled and soft tissues had been restored, which allowed oral rehabilitation with reconstruction plates and autogenous bone grafting, if needed."</v>
          </cell>
          <cell r="E567" t="str">
            <v>EMERGENCY MEDICINE</v>
          </cell>
          <cell r="F567" t="str">
            <v>Comminuted fracture,external fixator,mandible</v>
          </cell>
          <cell r="H567" t="str">
            <v>Q4</v>
          </cell>
        </row>
        <row r="568">
          <cell r="B568" t="str">
            <v>10.14744/tjtes.2022.86211</v>
          </cell>
          <cell r="C568" t="str">
            <v>"ABSTRACT BACKGROUND: Injuries caused by falls from heights (FFH) and fall of heavy objects (FHO) in residential settings are underestimated in the Middle East. We aimed to describe the fall-related injuries at home requiring admission at a level 1 trauma center. METHODS: We conducted a retrospective analysis of patients who were admitted following fall-related injuries at home between 2010 and 2018. Comparative analyses were performed based on age groups (&lt;18, 19â€“54, 55â€“64, and â‰¥65 years), gender, severity of injuries, and height of fall. Time series analysis of fall-related injuries was performed. RESULTS: A total of 1402 patients were hospitalized due to fall-related injuries occurred at home (11% of total trauma admissions). Three quarters of victims were male. The most injured subjects were young and middle-aged (41.6%), followed by pediatric (37.2%) and elderly subjects (13.6%). FFH was the most frequent mechanism of injury (94%) followed by FHO (6%). Head injury was most common (42%) followed by lower extremity injury (19%). Older adults (â‰¥65 years) had more complications, longer hospital stay, and higher in-hospital mortality. Patients who fell from greater heights had more chest and spinal injuries with greater severity and longer stay in the hospital. Time-series analysis did not show a seasonal variation of fall-related hospitalization. CONCLUSION: This study showed that 11% of trauma hospitalizations were related to fall at home. FFH was common in all age groups; however, FHO was more evident in the pediatric group. Preventive efforts should address the circumstances of trauma in the residential settings to better inform evidence-based prevention strategies."</v>
          </cell>
          <cell r="E568" t="str">
            <v>EMERGENCY MEDICINE</v>
          </cell>
          <cell r="F568" t="str">
            <v>Fall from height,fall of heavy objects,home,hospitalization,injury,residential settings,trauma</v>
          </cell>
          <cell r="H568" t="str">
            <v>Q4</v>
          </cell>
        </row>
        <row r="569">
          <cell r="B569" t="str">
            <v>10.1515/bmt-2021-0170</v>
          </cell>
          <cell r="C569" t="str">
            <v>"AbstractEpilepsy is a neurological disorder requiring specialists to scrutinize medical data at diagnosis. Diagnosis stage is both time consuming and challenging, requiring expertise in detection of epileptic seizures from multi-channel noisy EEG data. It is crucial that EEG signals be automatically classified in order to help experts detect epileptic seizures correctly. In this study, a novel hybrid deep learning and SVM technique is employed on a restructured EEG data. EEG signals were transformed into a two-dimensional image sequence. Cloughâ€“Tocher technique is employed for interpolation of the values obtained from the electrodes placed on the skull during EEG measurements in order to estimate the signal strength in the missing places over the picture. After theÂ parameters in the deep learning architecture were optimized on the validation data, it is observed that the proposed techniqueâ€™s performance for classifying epilepsy moments over EEG signals demonstrated unmatched performance. This study fills a gap in the literature in terms of demonstrating a superior performance in automatic detection of epileptic episodes on a benchmark EEG data set and takes a substantial leap towards fully automated detection of epileptic disorders."</v>
          </cell>
          <cell r="E569" t="str">
            <v>ENGINEERING, BIOMEDICAL|MEDICAL INFORMATICS</v>
          </cell>
          <cell r="F569" t="str">
            <v>CNSVM,Clough-Tocher Interpolation of EEG data,EEG,epilepsy detection automation</v>
          </cell>
          <cell r="H569" t="str">
            <v>Q4</v>
          </cell>
        </row>
        <row r="570">
          <cell r="B570" t="str">
            <v>10.1515/zna-2020-0329</v>
          </cell>
          <cell r="C570" t="str">
            <v>"Abstract Mn-Ni based full-Heusler alloys belong to novel half-metallic compounds with a promising set of physical properties for applications as functional materials. Based on first principles calculations, the electronic structures, the magnetic and mechanical properties of Ni2Mn(Ge,Sn) and Mn2NiGe full-Heusler alloys have been investigated in detail. The results revealed that the Mn2NiGe with Hg2CuTi type structure is more stable; on the other hand, for Ni2Mn(Ge,Sn), the Cu2MnAl type structure is more stable. The Mn2NiGe alloys are found to be half-metallic with an integer value of total magnetic moment of 4 Î¼B which makes them interesting materials in the field of spintronics. The Ni2Mn(Ge,Sn) alloys exhibit metallic character in both Hg2CuTi and Cu2MnAl type structures. The calculated B/G ratios for all the considered compounds Ni2Mn(Ge,Sn) and Mn2NiGe are greater than 1.75; therefore, these alloys are ductile, and the calculated Cauchyâ€™s pressure is positive, which also classified these compounds as ductile materials."</v>
          </cell>
          <cell r="E570" t="str">
            <v>CHEMISTRY, PHYSICAL|PHYSICS, MULTIDISCIPLINARY</v>
          </cell>
          <cell r="F570" t="str">
            <v>electrical properties,first-principles calculations,Heusler alloy,magnetic properties</v>
          </cell>
          <cell r="H570" t="str">
            <v>Q4</v>
          </cell>
        </row>
        <row r="571">
          <cell r="B571" t="str">
            <v>10.1521/soco.2022.40.4.336</v>
          </cell>
          <cell r="C571" t="str">
            <v>" With three experimental studies using data from young adults living in a highly religious context, namely Turkey (N = 483), the current research examines how being watched by a third person versus God affects the perceived likelihood ratings of harmful versus impure immoral behaviors. We hypothesized that respondents would expect others to more strongly refrain from acting immorally when they believed they were being watched by God compared to a third person, and that this effect would be more pronounced for impure compared to harmful moral transgressions. The God condition was perceived as more effective than the third-person surveillance condition when immoral behaviors were harmful. However, for severe impure transgressions, neither surveillance condition was perceived as effective. We discuss our findings in light of contemporary morality research, outline the role of possible cultural and individual-level boundary conditions, and highlight the scientific and practical contributions of our research to the field. "</v>
          </cell>
          <cell r="E571" t="str">
            <v>PSYCHOLOGY, SOCIAL</v>
          </cell>
          <cell r="F571" t="str">
            <v>being watched,third person,God,impurity,harmfulness</v>
          </cell>
          <cell r="H571" t="str">
            <v>Q4</v>
          </cell>
        </row>
        <row r="572">
          <cell r="B572" t="str">
            <v>10.15320/ICONARP.2021.148</v>
          </cell>
          <cell r="C572" t="str">
            <v>"Purpose\nVoyvoda Street in Galata district of Istanbul originated centuries ago at the inner walls of the medieval city and was one of the most significant of its era, which has preserved its unique character and urban identity. In the nineteenth century, it became an important financial axis for the city. This study aims to understand the factors which determined the axial character of Voyvoda Street and its urban identity. The street, which is under the influence of new dynamics is examined in relation to spatial and functional transformation.\nDesign/Methodology/Approach \nThe analysis was developed by two essential components: the street and the buildings that define the character of the street by its architectural components, and their functional transformation since the nineteenth century. The axial character of the street has been evaluated due to selected criteria. The data is based on literature review, the survey of historical maps, visual materials such as photographs and gravure prints, and on-site observations.\nFindings \nThe street has been shaped and transformed by social, political, and economic developments, external and internal migrations, the influence of modernist architectural movements, urban reforms, Western innovations in transportation, and technical developments. Voyvoda Streetâ€™s strong character as an axis is determined by its historical buildings, which are attached to each other continuously that form a wall defining the boundaries of the street. It is one of the essential pedestrian connections and functions as a path. Since most of the buildings lost their original functions, following the re-use for various needs, the service and cultural industries have become dominant. Although the historical characters of some buildings have been changed by new additions, the original silhouette of the nineteenth century is still dominant.Â \nResearch Limitations/Implications \nVisual materials and resources of some buildings were available in detail, while for some of them, the materials were limited.\nOriginality/Value\nThe previous studies concentrated on urban, and architectural aspects of Galata district as a whole, whereas this study focused on the urban identity of Voyvoda Street. The street and the historical buildings that define the axial character and the image of the street by its architectural components, and their functional transformation have been analyzed."</v>
          </cell>
          <cell r="E572" t="str">
            <v>ARCHITECTURE</v>
          </cell>
          <cell r="F572" t="str">
            <v>Axial character,built heritage,street identity,transformation,Voyvoda Street</v>
          </cell>
          <cell r="H572" t="str">
            <v>Q1</v>
          </cell>
        </row>
        <row r="573">
          <cell r="B573" t="str">
            <v>10.15388/21-INFOR458</v>
          </cell>
          <cell r="C573" t="str">
            <v>"From the perspective of multiple attribute decision analysis, the evaluation of decision alternatives should be based on the performance scores determined with respect to more than one attribute. Fuzzy logic concepts can equip the evaluation process with different scales of linguistic terms to let the decision-makers point out their ideas and preferences. A more recent one of fuzzy sets is the picture fuzzy set which covers three separately allocable elements: positive, neutral, and negative membership degrees. The novel and distinctive element included by a picture fuzzy set is the refusal degree which is equal to the difference between 1 and the sum of the other three. In this study, we aim to contribute to the literature of the picture fuzzy sets by (i) proposing two novel entropy measures that can be used in objective attribute weighting and (ii) developing a novel picture fuzzy version of CODAS (COmbinative Distance-based ASsessment) method which is empowered with entropy-based attribute weighting. The applicability of the method is shown in a green supplier selection problem. To clarify the differences of the proposed method, a comparative analysis is provided by considering traditional CODAS, spherical fuzzy CODAS, and spherical fuzzy TOPSIS with different entropy-based scenarios."</v>
          </cell>
          <cell r="E573" t="str">
            <v>COMPUTER SCIENCE, INFORMATION SYSTEMS|MATHEMATICS, APPLIED</v>
          </cell>
          <cell r="F573" t="str">
            <v>picture fuzzy sets,CODAS,entropy,information measures,expert judgment,green supply chain management,supplier selection</v>
          </cell>
          <cell r="H573" t="str">
            <v>Q1</v>
          </cell>
        </row>
        <row r="574">
          <cell r="B574" t="str">
            <v>10.15388/23-INFOR528</v>
          </cell>
          <cell r="C574" t="str">
            <v>"The Best-Worst Method (BWM) is a recently introduced, innovative multi-criteria decision-making (MCDM) technique used to determine criterion weights for selection processes. However, another method is needed to complete the selection of the most preferred alternative. In this research, we propose a group decision-making methodology based on the multiplicative BWM to make this selection. Furthermore, we give new models that allow for groups with different best and worst criteria to exist. This capability is crucial in reconciling the differences among experts from various geographical locations with diverse evaluation perspectives influenced by social and cultural disparities. Our work contributes significantly in three ways: (1) we propose a BWM-based methodology for evaluating alternatives, (2) we present new linear models that facilitate decision-making for groups with different best and worst criteria, and (3) we develop a dissimilarity ratio to quantify the differences in expert opinions. The methodology is illustrated via numerical experiments for a global car company deciding which car model alternative to introduce in its markets."</v>
          </cell>
          <cell r="E574" t="str">
            <v>COMPUTER SCIENCE, INFORMATION SYSTEMS|MATHEMATICS, APPLIED</v>
          </cell>
          <cell r="F574" t="str">
            <v>group decision-making,multi-criteria decision-making,multiplicative best-worst method,linear programming</v>
          </cell>
          <cell r="H574" t="str">
            <v>Q1</v>
          </cell>
        </row>
        <row r="575">
          <cell r="B575" t="str">
            <v>10.1557/s43577-022-00307-4</v>
          </cell>
          <cell r="C575" t="str">
            <v>"Abstract The formation of branched microstructures during the electrodeposition is a catastrophic event, which hampers the safe utilization of the metallic electrodes in rechargeable batteries. Focusing on the nonlinear growth dynamics of the dendritic microstructures, we tune the rate of the feeding charge against their growth pace to minimize the amount of the dendritic branching, while maintaining a constant feeding charge. The ultimate morphology of the electrodeposits has been shown to be more compact than the conventional uniform charging in terms of the density of the electrodeposits. Due to analytical derivation and the coupled development of the optimal charge form with respect to the natural kinetics of dendritic evolution in realÂ time, we infer that it prevents the branching of the electrodeposits to the greatest extent, during the stochastic evolution of the dendrites. Impact statement Taking into account the runaway behavior in the natural growth rate of the dendritic electrodeposition, which is slowest in the initiation (i.e., triggering) stage and is fastest in the final (i.e., short circuit) stage, we tune the rate of the feeding charge in time, inversely for highest compression of the microstructures, while maintaining a constant total charge. The controlled dendritic growth with the constant speed has analytically been proven to lead to the shortest growth compared with any other runaway growth form, while maintaining the same amount of the total charge. Subsequently, the constant rate of growth has been used as the handle to obtain the charge feeding form leading to such rate of growth. Performing stochastic molecular dynamics (MD) simulations, the ultimate morphology of the electrodeposits has been shown to be more compact than the conventional uniform charging in terms of the density of the electrodeposits. In fact, the charge feeding occurs when the density of the growing structure is the highest, and vice versa, the feeding rate is the least, when the structure is the most branched and sparse. The obtained charging protocol has been successfully tested in our experimental observations, which has visually led to the shorter accumulation of the dendrites with higher packing density. Due to analytical derivation and comparative development of the optimal pulse form with respect to the natural kinetics of dendritic evolution, we infer that it prevents the branching of the electrodeposits almost to the greatest extent, during the stochastic evolution of the dendrites. GraphicAbstract"</v>
          </cell>
          <cell r="E575" t="str">
            <v>MATERIALS SCIENCE, MULTIDISCIPLINARY|PHYSICS, APPLIED</v>
          </cell>
          <cell r="F575" t="str">
            <v>Charging Profile,Optimization,Dendritic Growth,Electrodeposition,Analytical Development</v>
          </cell>
          <cell r="H575" t="str">
            <v>Q2</v>
          </cell>
        </row>
        <row r="576">
          <cell r="B576" t="str">
            <v>10.1557/s43579-023-00471-x</v>
          </cell>
          <cell r="C576" t="str">
            <v>"Developing milli/microswimmers in the biomedical field over the last two decades has led to an enormous revelation in in-vivo studies, particularly in overcoming the impossibility of accessing some sensitive, delicate, and inaccessible parts of the body. One of the most attractive methods is utilizing additive manufacturing technologies. Milli/micro-robotic swimmers could be developed fast, precise, cost-friendly, and controllable by magnetic-, photo-, and acoustic actuation. Bismuth is the most biocompatible diamagnetic material usable for therapeutic and diagnostic intentions. Bismuth diamagnetic particle-loaded milli-swimmers were developed utilizing additive manufacturing by stereolithography-based 3D-printer and movement kinetics under magnetic field gradient were observed."</v>
          </cell>
          <cell r="E576" t="str">
            <v>MATERIALS SCIENCE, MULTIDISCIPLINARY</v>
          </cell>
          <cell r="F576" t="str">
            <v>Biomaterial,Bi,Robotics,Additive manufacturing,Kinetics,Magnetic properties</v>
          </cell>
          <cell r="H576" t="str">
            <v>Q3</v>
          </cell>
        </row>
        <row r="577">
          <cell r="B577" t="str">
            <v>10.15644/asc57/2/6</v>
          </cell>
          <cell r="C577" t="str">
            <v>"Objective Bioceramic-based sealers, in combination with bioceramic-coated gutta-perchas, have become more commonly used in root canal obturation. The present study aimed to assess the influence of laser-assisted dentin conditioning compared with conventional conditioning protocols on the push-out bond strength (PBS) of a bioceramic-based root canal filling. Material and Methods Sixty extracted mandibular premolars with one root canal were instrumented with EndoSequence rotary files up to size 40/0.04. Four types of dentin conditioning protocols were used: 1) 5.25% NaOCl (control), 2) 17% EDTA+5.25% NaOCl, 3) Diode laser-agitated 17% EDTA+5.25% NaOCl, 4) Er,Cr:YSGG laser irradiation+5.25% NaOCl. Teeth were obturated using the single-cone technique with EndoSequence BC sealer+BC points (EBCF). After having obtained 1-mm-thick horizontal slices from the apical, middle and coronal root thirds, push-out test was carried out, and failure modes were determined. The data were analyzed by two-way analysis of variance and Tukeyâ€™s test with a significance level of p&lt;0.05. Results The apical segments showed the highest PBS in all groups (p&lt;0.05). In the apical segments, EDTA+NaOCl and diode laser agitated EDTA increased the PBS compared to the control (p=0.0001) and Er, Cr: YSGG laser (p=0.011 and p=0.027, respectively) groups. Both laser-used groups revealed significantly higher PBS values in the middle and coronal segments than EDTA+NaOCl (p&lt;0.05). The bond failure was predominantly cohesive without any significant difference among the groups (p&gt;0.05). Conclusions Laser-assisted dentin conditioning had distinct effects on the PBS of the EBCF at different root segments. Although Er, Cr: YSGG was ineffective in the apical segments, generally, laser-assisted dentin conditioning affected PBS more favorably than conventional irrigation groups, with a more pronounced effect in the diode laser-agitated EDTA group."</v>
          </cell>
          <cell r="E577" t="str">
            <v>DENTISTRY, ORAL SURGERY &amp; MEDICINE</v>
          </cell>
          <cell r="F577" t="str">
            <v>Author Bioceramic Root Canal Filling,Diode Laser,Er,Cr,YSGG laser,Bond Strength</v>
          </cell>
          <cell r="H577" t="str">
            <v>Q3</v>
          </cell>
        </row>
        <row r="578">
          <cell r="B578" t="str">
            <v>10.15832/ankutbd.1029995</v>
          </cell>
          <cell r="C578" t="str">
            <v>"This research was conducted to determine to effects of different irrigation levels and nitrogen doses on the various warm-season turfgrasses at DELETED by JAS for two years in a row. The experimental design was the randomized blocks in a split-split plot design with three replications. The main plot was irrigation levels (I1=25%, I2=50%, I3=75%, and I4=100% of pan evaporation), subplots were turfgrass species [hybrid Bermudagrass (Cynodon transvaalensis x Cynodon dactylon) cv. Tifdwarf, seashore paspalum (Paspalum vaginatum Sw.) cv. Seaspray, zoysiagrass (Zoysia japonica Steud.) cv. Zenit], and sub subplots were nitrogen doses (monthly 0.0, 1.25, 2.5, and 5.0 g N m-Â²). Visual turfgrass color and quality, clipping yield, leaf relative water content, loss of turgidity, chlorophyll content, and electrolyte leakage were measured. According to the results, significant differences were determined among irrigation levels, turfgrass species, and nitrogen doses for color, quality, clipping yield and physiological parameters. Turfgrass visual color, quality and clipping yield were shown to decrease significantly with decreases in irrigation water and N fertilizer. The study findings demonstrated that under a non-limiting water supply, irrigation could be decreased by adjusting N fertilizer rates with I3N3 treatments can maintain acceptable turfgrass visual color and quality under Mediterranean climatic conditions. In addition, at 25%(I1) deficit irrigation level, leaf relative water content, chlorophyll content decreased significantly, while an increase was determined in loss of turgidity. This research indicated that under 75%(I3) deficit irrigation and N3 nitrogen dose, acceptable quality can be maintained with â€˜Seasprayâ€™ seashore paspalum under Mediterranean climate performed."</v>
          </cell>
          <cell r="E578" t="str">
            <v>AGRICULTURE, MULTIDISCIPLINARY</v>
          </cell>
          <cell r="F578" t="str">
            <v>Deficit irrigation,Nitrogen fertilization,Turf color,Turf physiology</v>
          </cell>
          <cell r="H578" t="str">
            <v>Q3</v>
          </cell>
        </row>
        <row r="579">
          <cell r="B579" t="str">
            <v>10.15835/nbha51413158</v>
          </cell>
          <cell r="C579" t="str">
            <v>"Bioaccumulation of toxic heavy metals in vegetables is closely related to the problems of safety concerns as they negatively affect plants in particular those consumed by the humans. Among the food systems the vegetables are the most noticeable foods affected by environmental pollution. Vegetables can take up the metals like copper and lead and store them in excessive levels. Keeping this in view this investigation was undertaken to study the effect of copper and lead concentrations (20, 40, 80, 160, 240, 320, 640, and 1280 ÂµM) and assess their toxic affects on germination and seedling growth at early stages of eight vegetable cultivars; kidney bean, peas, black-eyed bean, artichoke, kale, lettuce, rocket and radish. The results were evaluated by multivariate analysis of variance and Pearson correlation statistical analysis. Our results indicate that the seeds of the vegetables studied by us are generally tolerant to both copper as well lead, except higher concentration exposures which showed no improvement when applied to artichoke (for Cu 1280 ÂµM) and lettuce seeds (Cu 1280 ÂµM; Pb 1280 ÂµM). An application of copper and lead ended up with a decrease in barium, calcium, iron, magnesium, manganese, sodium and zinc content in all seedlings studied. In all vegetables exposed to copper and lead a promotion in copper and lead accumulation was recorded. There was a decrease in nutrient element intake which interrupted the mineral element uptake in the seedlings."</v>
          </cell>
          <cell r="E579" t="str">
            <v>PLANT SCIENCES</v>
          </cell>
          <cell r="F579" t="str">
            <v>copper,heavy metals,lead,vegetables,seedlings,uptake</v>
          </cell>
          <cell r="H579" t="str">
            <v>Q3</v>
          </cell>
        </row>
        <row r="580">
          <cell r="B580" t="str">
            <v>10.16986/HUJE.2022.448</v>
          </cell>
          <cell r="C580" t="str">
            <v>"&lt;jats:p xml:lang=\"tr\" /&gt;"</v>
          </cell>
          <cell r="E580" t="str">
            <v>EDUCATION &amp; EDUCATIONAL RESEARCH</v>
          </cell>
          <cell r="F580" t="str">
            <v>Career adaptability and optimism,career decision self-efficacy</v>
          </cell>
          <cell r="H580" t="str">
            <v>Q4</v>
          </cell>
        </row>
        <row r="581">
          <cell r="B581" t="str">
            <v>10.17113/ftb.59.04.21.7204</v>
          </cell>
          <cell r="C581" t="str">
            <v>"Research background. In spite of being a significantly growing segment, there are still problems regarding the nutritional, technological and sensory profiles of gluten-free products. Thus, the combination of a variety of functional ingredients is required in order to achieve the desired product quality.\nExperimental approach. Three types of flour, chestnut, buckwheat and potato, were chosen in this study because they are all gluten-free, nutritionally richer and technologically more advantageous than wheat flour. They are combined with chia seeds, which are also functional ingredients as they are rich in dietary fibre and unsaturated fatty acids. Therefore, this study aims to evaluate the utilization of chia seeds with chestnut, buckwheat and potato flour in biscuits as overall quality enhancers in gluten-free products. The proximate composition, total phenolic content, antioxidant activity, some biscuit quality parameters and the sensory properties of the samples were investigated, and some changes in these products during storage were monitored and evaluated.\nResults and conclusions. According to the results, biscuits with chestnut flour had the highest phenolic content (400.2 mg gallic acid equivalent (GAE) per 100 g dry sample) and total antioxidant activity (155.5 mg Trolox equivalent (TE) per 100 g dry sample). Biscuits with chestnut and chia seeds had the hardness of 30.1 N (p&lt;0.05). In addition, the use of chia seeds significantly increased the overall acceptability and flavour scores according to the sensory analysis results. During storage, chia seeds affected the oxidation stability; however, the fatty acid profile remained almost unchanged, except for the losses in lauric, stearic and Î±-linolenic acids (p&lt;0.05). In conclusion, the biscuits with chestnut and chia seeds were more attractive than those made with other types of flour, with remarkably better nutritional characteristics and sensory attributes.\nNovelty and scientific contribution. The study fulfils a need for the growing gluten-free market by combining together the functional nutrients of chia seeds, chestnut flour and buckwheat flour to achieve the nutritionally improved and organoleptically acceptable gluten-free biscuits. Furthermore, this study makes an overall evaluation of the changes in product quality during storage to provide new ideas for an overall innovation in the gluten-free food market."</v>
          </cell>
          <cell r="E581" t="str">
            <v>BIOTECHNOLOGY &amp; APPLIED MICROBIOLOGY|FOOD SCIENCE &amp; TECHNOLOGY</v>
          </cell>
          <cell r="F581" t="str">
            <v>buckwheat,chestnut,chia,gluten-free biscuits,sensory characteristics,coeliac disease,nutritional value</v>
          </cell>
          <cell r="H581" t="str">
            <v>Q3</v>
          </cell>
        </row>
        <row r="582">
          <cell r="B582" t="str">
            <v>10.17113/ftb.61.04.23.8071</v>
          </cell>
          <cell r="C582" t="str">
            <v>"Research background. Brain cancer is known to be one of the most difficult types of cancer to cure. It has a serious impact on the lives of diagnosed people due to the insufficient treatment options and their side effects. The search for new alternative treatments is therefore ongoing. Melocan (Smilax excelsa L.) and galdirik (Trachystemon orientalis) are of great importance in both traditional culinary culture and traditional medicine around the Black Sea; however, the knowledge about their antioxidant and cytotoxic effects remains fairly limited.\nExperimental approach. The aim of this study is to determine the antioxidant and cytotoxic activity of Smilax excelsa and Trachystemon orientalis on the C6 glioblastoma cell line. The plants of Smilax excelsa and Trachystemonorientalis were dried and extracted and then their total phenolic content (TPC) and phenolic profiles were studied. In addition, their total antioxidant status (TAS) and total oxidant status (TOS) were determined using an assay kit. We also analysed the total antioxidant activity (TAA) using the DPPH radical scavenging assay and the cytotoxic effect on the glioma cells using the 3-(4,5-dimethylthiazol-2-yl)-2,5-diphenyltetrazolium (MTT) assay.\nResults and conclusions. According to the results, the water extracts of Smilax excelsa and Trachystemon orientalis had higher TPC (expressed in gallic acid equivalents on dry mass basis: 1158.17 and 262 mg/100 g, respectively) than the ethanol extracts. TAA expressed in Trolox equivalents on dry mass basis was 192.86 and 131.92 mg/100 g for Smilax excelsa and Trachystemon orientalis, respectively. The MTT assay showed that Trachystemon orientalis had a greater cytotoxic effect. In conclusion, the findings of the current study are promising for the development of new drugs.\nNovelty and scientific contribution. This is the first study that aims to evaluate the potential cytotoxic activity of two local Turkish plants, Smilax excelsa and Trachystemon orientalis, against C6 glioblastoma cells. The results confirm that both plants could be used as good therapeutic agents for the treatment of cancer in the future."</v>
          </cell>
          <cell r="E582" t="str">
            <v>BIOTECHNOLOGY &amp; APPLIED MICROBIOLOGY|FOOD SCIENCE &amp; TECHNOLOGY</v>
          </cell>
          <cell r="F582" t="str">
            <v>C6 glioblastoma,Smilax excelsa L.,Trachystemon orientalis,brain cancer</v>
          </cell>
          <cell r="H582" t="str">
            <v>Q3</v>
          </cell>
        </row>
        <row r="583">
          <cell r="B583" t="str">
            <v>10.17219/acem/150555</v>
          </cell>
          <cell r="C583" t="str">
            <v>"BACKGROUND\nAcute respiratory distress syndrome (ARDS), an acute respiratory failure caused by noncardiogenic pulmonary edema, was first defined by Ashbaugh et al. in 1967. The number of publications increased enormously after the Berlin definition of ARDS was first described in 2012.\n\n\nOBJECTIVES\nThis article intends to provide the physicians and the scientists with a reference guide to assess the most influential publications written about ARDS.\n\n\nMATERIAL AND METHODS\nWe performed an exhaustive bibliometric analysis to identify publication trends by year, and the most influential research articles, authors, co-authors, journals, and countries. Articles on ARDS published in Science Citation Index (SCI) and Emerging Sources Citation Index (ESCI) journals between 1980 and 2020 were examined. On December 20, 2020, the keywords \"ARDS\" and \"acute respiratory distress syndrome\" were searched using the Web of Science Core Collection (WoSCC) database, and data including titles, author information, abstracts, journals, and references were analyzed.\n\n\nRESULTS\nA total of 4564 articles related to ARDS published between 1980 and 2020 were identified. After excluding 192 proceedings papers, 19 early access papers, 1 book chapter, 1 research paper, and 1 retracted article, 4350 articles published in SCI and ESCI journals were analyzed. The largest number of articles (n = 557, 12.8%) appeared in 2020. The average citations per article was 38.21, and 4350 articles were cited 166,885 times altogether. The USA was at the top of the list of the most productive countries with 5025 articles. Harvard University was the most contributing institution with 244 articles. M.A. Matthay ranked as the most productive author in ARDS research with 87 published publications.\n\n\nCONCLUSION\nThe present study provided a comprehensive, illustrative analysis of ARDS articles published in SCI and ESCI journals over the past 40 years."</v>
          </cell>
          <cell r="E583" t="str">
            <v>MEDICINE, RESEARCH &amp; EXPERIMENTAL</v>
          </cell>
          <cell r="F583" t="str">
            <v>intensive care,bibliometric analysis,acute respiratory distress syndrome</v>
          </cell>
          <cell r="H583" t="str">
            <v>Q4</v>
          </cell>
        </row>
        <row r="584">
          <cell r="B584" t="str">
            <v>10.17219/dmp/152923</v>
          </cell>
          <cell r="C584" t="str">
            <v>"BACKGROUND\nDiagnosis in dentistry begins with the correct reading and interpreting of the dental radiograph.\n\n\nOBJECTIVES\nThe aim of the present study was to examine the effects of the imaging technique used, the dentistry specialty and the years of experience on the gray-level perception among dentists.\n\n\nMATERIAL AND METHODS\nA custom web application was developed. Dentomaxillofacial radiologists (DentRads), endodontists (Ends) and general dental practitioners (GDPs) were invited via e-mail to participate in the study. A total of 46 participants met the requirements of the test. The test comprised 2 webpages. On the 1st page, the participants were asked for information such as gender, specialty, the years of experience, and the imaging techniques they used. Then, on the 2nd page, they were welcomed with instructions and directions, and asked to rearrange 85 gray color tones represented by square bars of equal dimensions. These mixed gray bars were placed in 4 rows according to the principles of the FarnsworthMunsell 100-hue test (FM). Each clinician's test results were recorded in a database. The individual's level of recognition of gray tones was evaluated through the total error score (TES), which was calculated using a web-based independent scoring software program. Lower TES values were a desirable result, indicating fewer misplacement, while higher scores indicated more misplacements of gray tones. The testing time (TT) was recorded automatically.\n\n\nRESULTS\nThe years of the participants' experience as dentists or specialists did not affect TES or TT. The dentists who used the charge-coupled device-complementary metal oxide semiconductor (CCD-CMOS) had lower TES values than those who used analog radiographs (p &lt; 0.05).\n\n\nCONCLUSIONS\nWhile the specialty and the years of experience did not affect the clinicians' ability to recognize gray tones, the digital imaging techniques (photostimulable phosphor (PSP) and CCD/CMOS) could improve the clinicians' gray-level perception."</v>
          </cell>
          <cell r="E584" t="str">
            <v>DENTISTRY, ORAL SURGERY &amp; MEDICINE|MEDICINE, GENERAL &amp; INTERNAL</v>
          </cell>
          <cell r="F584" t="str">
            <v>grayscale,dental radiology,contrast resolution</v>
          </cell>
          <cell r="H584" t="str">
            <v>Q1</v>
          </cell>
        </row>
        <row r="585">
          <cell r="B585" t="str">
            <v>10.17811/ebl.10.2.2021.126-132</v>
          </cell>
          <cell r="C585" t="str">
            <v>"We propose a dynamic, forward-looking hedging strategy to manage stock market risks via positions in REITs, conditional on the level of risk aversion. Our findings show that REITs do not only offer significant risk reduction for passive portfolios, but also offer much improved risk-adjusted returns with the greatest benefits observed for Australia, Canada and the U.S. Overall, our findings suggest that time-varying risk aversion can be utilized to (i) establish effective hedges against stock market risks via positions in REITS, and (ii) improve the risk-return profile of passive portfolios."</v>
          </cell>
          <cell r="E585" t="str">
            <v>ECONOMICS</v>
          </cell>
          <cell r="F585" t="str">
            <v>real estate investment trusts,risk aversion,Markov switching,hedging</v>
          </cell>
          <cell r="H585" t="str">
            <v>Q3</v>
          </cell>
        </row>
        <row r="586">
          <cell r="B586" t="str">
            <v>10.17826/cumj.1090830</v>
          </cell>
          <cell r="C586" t="str">
            <v>"Himen varyasyonlarÄ± deÄŸiÅŸik ÅŸekil ve boyutlarda olup kadÄ±nlar tarafÄ±ndan genellikle ergenliÄŸe giriÅŸ ile fark edilirler. Bu olguda septat himenâ€™e sahip olduÄŸu daha Ã¶nceden fark edilmemesi sebebiyle cinsel iliÅŸkiye girememe ÅŸikÃ¢yeti ile baÅŸvuran 23 yaÅŸÄ±ndaki kadÄ±n hasta anlatÄ±lacaktÄ±r. Bu olgu sunumunun amacÄ± nadir gÃ¶rÃ¼len bu himen varyasyonuna ve cinsel disfonksiyon ÅŸikÃ¢yeti ile gelen yetiÅŸkin kadÄ±n hastalarÄ±n ayÄ±rÄ±cÄ± tanÄ±sÄ±nÄ±n yapÄ±lmasÄ±na dikkat Ã§ekmektir."</v>
          </cell>
          <cell r="E586" t="str">
            <v>MEDICINE, GENERAL &amp; INTERNAL</v>
          </cell>
          <cell r="H586" t="str">
            <v>Q3</v>
          </cell>
        </row>
        <row r="587">
          <cell r="B587" t="str">
            <v>10.17826/cumj.1133550</v>
          </cell>
          <cell r="C587" t="str">
            <v>"Purpose: BK virus nephropathy (BKVN) is a latent infection and it is closely associated with immunsuppressive therapy. We aimed in this study to evaluate biopsy-proven BKVN and investigate frequency, risk factors and treatment management. \r\nMaterials and Methods: In this study, 422 kidney transplant recipients were analysed retrospectively between April 2014 and April 2020 for biopsy-proven BK virus nephropathy. Group I included 16 kidney transplant patients with biopsy-proven BK nephropathy and group II included 36 kidney transplant patients with negative BK virus nephropathy. We aimed demographic, clinical features of kidney transplant recipients with BKVN (group I, n: 16 ) and non-BKVN (group II, n:36) were compared and the factors affecting of BKVN. \r\nResults: The mean age of grup I and group II were were 41Â±14.8 years and 39Â±15.2 respectively. The patients mean follow-up period of 43Â±11.2 months. Serum creatinine and proteinuria degree were significantly higher in the group with BKVN. In order to reduce the dose of immunosuppression in patients with BKVN, tacrolimus treatment was discontinued in 8 patients, and they were switched to everolimus + MMF + prednisone treatment, leflunamide + MMF + prednisone treatment in 4 patients, and sirolimus + MMF + prednisone treatment in 4 patients. The mean serum creatinine level of the patients who were followed up were observed as 1.78Â±0.98 mg/dl in group I.\r\nConclusion: In our center, the prevalance of BKVN was found 3.92% during the study period. Reduction of dose immunosuppressive therapy is the most effective treatment. It is thought that there was no differences between Leflunamide and other approaches for treatment. Early diagnosis and screening (frequently intervals) seems to be most effective way for BKVN."</v>
          </cell>
          <cell r="E587" t="str">
            <v>MEDICINE, GENERAL &amp; INTERNAL</v>
          </cell>
          <cell r="F587" t="str">
            <v>BK virus,nepropathy,kidney transplantation</v>
          </cell>
          <cell r="H587" t="str">
            <v>Q3</v>
          </cell>
        </row>
        <row r="588">
          <cell r="B588" t="str">
            <v>10.17826/cumj.1343840</v>
          </cell>
          <cell r="C588" t="str">
            <v>"Purpose: Though there are gaps in the relationship between COVID-19 and newborns no bibliometric analysis was published until now. This study aims to perform a bibliometric overview of literature of the relationship between newborns and COVID-19 in order to guide future studies addressing the same problem.\r\nMaterials and Methods: Web of science was used to scan the published literature on newborns &amp; COVID-19 by searching studies with and bibliometric networks were visualized by VOSviewer software. COVID-19, SARS-CoV-2, 2019-nCoV with perinatal, neonatal, newborn and infant were used as keywords.\r\nResults: 912 keyword-coherent publications were found in the period 1970-2021, (491; 54.43% high quality studies) mostly about pediatrics and obstetrics gynecology with most frequent keywords; COVID-19, Sars-Cov-2, Pregnancy, Vertical Transmission and Newborn. United States, China, England and Italy have the highest number of studies as well as highest number of citations. COVID-19 on neonatal outcomes and pregnancy had highest citation.\r\nConclusion: Scientific network monitoring via bibliometric analysis is crucial and proved highly beneficial during COVID-19 crisis. Despite the articles on COVID-19 &amp; newborn have a decent number of citations, it vastly lower compared to the other studies about adults or clinical features and should be increased while it is still early."</v>
          </cell>
          <cell r="E588" t="str">
            <v>MEDICINE, GENERAL &amp; INTERNAL</v>
          </cell>
          <cell r="F588" t="str">
            <v>. COVID-19,bibliometric analysis,newborn,neonates,infant</v>
          </cell>
          <cell r="H588" t="str">
            <v>Q3</v>
          </cell>
        </row>
        <row r="589">
          <cell r="B589" t="str">
            <v>10.17826/cumj.782931</v>
          </cell>
          <cell r="C589" t="str">
            <v>"AmaÃ§: Polikistik over sendromu (PKOS), Ã¼reme Ã§aÄŸÄ±ndaki kadÄ±nlarÄ±n %12-23'ini etkileyen en yaygÄ±n endokrin bozukluktur. Bu Ã§alÄ±ÅŸmada, PKOSâ€™lu hastalarda serum Glikoz Potasyum (Glu/K+) oranÄ±nÄ±n tanÄ±sal deÄŸeri olup olmadÄ±ÄŸÄ± araÅŸtÄ±rÄ±ldÄ±.\r\nGereÃ§ ve YÃ¶ntem: Bu araÅŸtÄ±rma, hasta verileri kullanÄ±larak retrospektif tek merkezli yÃ¼rÃ¼tÃ¼len bir analiz Ã§alÄ±ÅŸmasÄ±dÄ±r. Ã‡alÄ±ÅŸma kriterlerine uygun 98 PKOSâ€™lu ile 78 yaÅŸ uyumlu kadÄ±n kontrol grubu Ã§alÄ±ÅŸmaya dahil edildi. Serum Glu/K+ oranÄ±, serum aÃ§lÄ±k Glikozunun serum potasyum dÃ¼zeylerine bÃ¶lÃ¼nmesiyle hesaplandÄ± ve laboratuvar verileri tÃ¼m hasta ve kontrol grubu iÃ§in analiz edildi.\r\nBulgular: Ä°nsÃ¼lin ile Glu/K+ oranÄ± arasÄ±nda korelasyon analizinde anlamlÄ± baÄŸÄ±ntÄ± tespit edildi. Glu/K+ oranÄ± iÃ§in ROC eÄŸri altÄ±ndaki alan insÃ¼line yakÄ±n ÅŸekilde 0,759 bulundu.. ROC analizine gÃ¶re PKOS tanÄ±sÄ± iÃ§in Ä°nsÃ¼lin cut-off deÄŸeri 81% duyarlÄ±lÄ±k ve 75% Ã¶zgÃ¼llÃ¼k deÄŸerinde 9,1 olarak tespit edilirken Glu/K+ oranÄ±nÄ±n cut-off deÄŸeri 74% duyarlÄ±lÄ±k ve 71% Ã¶zgÃ¼llÃ¼k deÄŸerinde 21,4 olarak hesaplandÄ±. \r\nSonuÃ§: SonuÃ§larÄ±mÄ±z, serum Glu/K+ oranÄ±nÄ±n PKOS iÃ§in tanÄ±sal Ã¶zelliklere sahip olan insÃ¼lin ile pozitif ve yakÄ±ndan iliÅŸkili olduÄŸunu gÃ¶stermektedir. Serum Glu/K+ oranÄ±nÄ±n PCOS iÃ§in yararlÄ± bir biyobelirteÃ§ olarak kullanÄ±labilecek duyarlÄ±lÄ±k ve Ã¶zgÃ¼llÃ¼ÄŸe sahip olduÄŸu tespit ettik."</v>
          </cell>
          <cell r="E589" t="str">
            <v>MEDICINE, GENERAL &amp; INTERNAL</v>
          </cell>
          <cell r="F589" t="str">
            <v>Polycystic ovary syndrome,glucose potassium rate,insulin,diagnosis</v>
          </cell>
          <cell r="H589" t="str">
            <v>Q3</v>
          </cell>
        </row>
        <row r="590">
          <cell r="B590" t="str">
            <v>10.18071/isz.75.0051</v>
          </cell>
          <cell r="C590" t="str">
            <v>"Oxidative stress has been associated as an essential contributor to the development of neurodegenerative diseases. Recent developments in the field of Parkinsonâ€™s Disease (PD) pathophysiology have led to a renewed interest in this field. As an antioxidant, uric acid (UA) has arisen as a potential neuroprotectant. Higher concentrations of UA are linked to reducing the risk of the development of the disease and preventing its progression. However, the expositions are unsatisfactory because the outcomes of these reports have not been consistent. This study is set out to assess the association of whether lower UA concentrations increased the PD risk by investigating its relationship with patientsâ€™ demographic and clinical data, and to determine whether previous studies are compatible with the Turkish-sampled population. Furthermore, we aimed to determine UAâ€™s probability of being an early-stage diagnostic marker. A total of 305 patients and 100 healthy controls were included. Serum UA levels of patients and controls were compared with clinical features. We classified the patients into three motor subtypes and determined the disease severity by modified Hoehn&amp;Yahr Staging Scale (mH&amp;Y) and Unified Parkinsonâ€™s Disease Rating Scale (UPDRS). Standardized Mini-Mental State Examination (MMSE-TR) was assessed for cognition. There were not any significant differences of age and sex between patients and controls (p=0.030, p=0.132). The mean UA was 5.06Â±1.33 mg/dL in patients and 5.46Â±1.44 in controls, and a statistical significance was detected (p=0.022). The mean MMSE-TR were 24.83Â±4.35 in patients and 27.09Â±2.13 in controls, and statictical significance was revealed (p=0.001). The mean duration of the disease was 6.31Â±4.16 years, mean UPDRS scores were 59.74Â±22.33, and mH&amp;Y scores were 2.29Â±0.91. In binary comparisons, patients with tremor-dominant motor subtype had lower UA concentrations than controls (p=0.014). ROC curve analysis revealed UAâ€™s cut-off as â‰¤9.15, the specificity was 99.3, the sensitivity was 10.0, and the area under the curve was 0.576 (p&lt;0.005). Regression analysis revealed age as an independent risk factor on UA values. Oxidative stress might be a factor in the development of PD, and UA may be a possible prospective protecting factor in the clinical course of the disease. However, it does not affect the severity. Our results support that lower uric acid concentrations are associated with PD; however, it is not a powerful indicator for predicting PD risk. As we reveal more about UA and its effect in further investigations, its significant role will become well-defined."</v>
          </cell>
          <cell r="E590" t="str">
            <v>CLINICAL NEUROLOGY|NEUROSCIENCES</v>
          </cell>
          <cell r="F590" t="str">
            <v>Parkinson's disease,uric acid,biomarker,neuroinflammation,oxidative stress</v>
          </cell>
          <cell r="H590" t="str">
            <v>Q4</v>
          </cell>
        </row>
        <row r="591">
          <cell r="B591" t="str">
            <v>10.18071/isz.76.0129</v>
          </cell>
          <cell r="C591" t="str">
            <v>"Background and purpose â€“ Obstructive sleep apnea syndrome (OSAS) may cause daytime sleepiness, mood changes and dysfunction in various cognitive areas due to recurrent arousals and / or chronic intermittent hypoxia. Different possibilities have been proposed regarding the most affected cognitive areas and mechanisms of OSAS. However, it is difficult to compare findings of the different studies due to the fact that individuals with different disease severities were included in the study groups. In the current study, we aimed to determine the relationship between severity of OSAS and cognitive functions, to investigate the effect of continuous positive airway pressure (CPAP) titration treatment on cognitive functions and the relationship between these changes and electrophysiological potential. Methods â€“ The study included 4 groups of patients with simple snoring and mild, moderate and severe OSAS. In the pre-treatment evaluations, verbal fluency, visuospatial memory, attention, executive functions, language abilities and electrophysiological tests for event-related potential were performed. The same procedure was reapplied after 4 months of CPAP-therapy. Results â€“ Long-term recall scores and total word fluency scores were found to be low in the groups with moderate and severe disease compared to the patients with simple snoring (p: 0.04, p: 0.03, respectively). The information processing time was higher in patients with severe disease compared to patients with simple snoring (p: 0.02). The P200 and N100 latencies related to event related potentials (ERP) were significantly different between the groups (p: 0.004, p: 0.008, respectively). After CPAP treatment, significant differences were found in N100 amplitude and latencies and all cognitive areas except abstraction. In addition, N100 amplitude and latency change rate as well as change in attention and memory abilities were correlated (r: 0.72, p: 0.02; r: 0.57, p: 0.03, respectively). Conclusion â€“ In the current research, disease severity was found to negatively affect long-term logical memory, sustained attention and verbal fluency. Moreover, significant improvement was detected in all cognitive areas with CPAP treatment. The findings of our study support that changes in N100 potential have the potential to be used as a biomarker that can be used to monitor cognitive function recovery after treatment."</v>
          </cell>
          <cell r="E591" t="str">
            <v>CLINICAL NEUROLOGY|NEUROSCIENCES</v>
          </cell>
          <cell r="F591" t="str">
            <v>event related potentials,sustained attention,verbal memory,abstraction,verbal fluency</v>
          </cell>
          <cell r="H591" t="str">
            <v>Q4</v>
          </cell>
        </row>
        <row r="592">
          <cell r="B592" t="str">
            <v>10.18400/tekderg.797412</v>
          </cell>
          <cell r="C592" t="str">
            <v>"Betonda eÄŸilme Ã§atlaklarÄ±nÄ±n derinliklerin tespit edilmesi, yapÄ±sal elemanlarÄ±n kalan yÃ¼k taÅŸÄ±ma kapasitelerinin tayini iÃ§in Ã¶nem taÅŸÄ±makladÄ±r. Uygulamada, mevcut tahribatsÄ±z ultrasonik test yÃ¶ntemleri Ã§atlak derinliÄŸinin tespitinden ziyade ya elemanlarÄ±n kalÄ±nlÄ±klarÄ±nÄ±n Ã¶lÃ§Ã¼lmesinde ya da mukavemet tayininde kullanÄ±lmaktadÄ±r. Bir cisim iÃ§inde yayÄ±lmakta olan ultrasonik dalgalar bir Ã§atlak ile karÅŸÄ±laÅŸtÄ±klarÄ± zaman dalga karakteristiklerinde deÄŸiÅŸim gÃ¶zlemlenir. Bu deÄŸiÅŸimin takibi ve Ã¶lÃ§Ã¼mÃ¼ ile Ã§atlak derinliÄŸinin tayini mÃ¼mkÃ¼ndÃ¼r. Bu makale, bu yaklaÅŸÄ±ma dayanarak geliÅŸtirilen tanÄ± metodunu, 7 adet Ã§elik-lifli beton kiriÅŸ numune (50x10x10 cm3) Ã¼zerinde gerÃ§ekleÅŸtirilmiÅŸ olan ultrasonik testler Ã¼zerinden incelemektedir. KiriÅŸ numeneler Ã§atlak-kontrollÃ¼ Ã¼Ã§-noktalÄ±-eÄŸilme testi ile belli bir Ã§atlak derinliÄŸine ulaÅŸÄ±lana kadar hasara uÄŸratÄ±lmÄ±ÅŸ ve akabinde gerÃ§ekleÅŸtirilen ultrasonik testler ile dalga yayÄ±lÄ±mÄ± kaydedilmiÅŸtir. Kaydedilen dalga sinyal serileri, ayrÄ±k wavelet dÃ¶nÃ¼ÅŸÃ¼m ve frekans-dalganumarasÄ± analizi gibi dijital sinyal iÅŸleme teknikleri ile analiz edilerek iki tip tanÄ± indeksi elde edilmiÅŸtir. Ä°lk tanÄ± indeksi malzeme sÃ¶nÃ¼m katsayÄ±sÄ± Î±, dalga sÃ¶nÃ¼mÃ¼nÃ¼; diÄŸer tanÄ± indeksi â€˜daÄŸÄ±lÄ±m indeksi DIâ€™ ise, dalgalarÄ±n faz hÄ±zÄ±ndaki daÄŸÄ±lÄ±mÄ± temsil etmektedir. Her iki tanÄ± indeksinin de Ã§atlak tespiti ve derinlik tahmininde faydalÄ± olduklarÄ± gÃ¶rÃ¼lmÃ¼ÅŸtÃ¼r."</v>
          </cell>
          <cell r="E592" t="str">
            <v>ENGINEERING, CIVIL</v>
          </cell>
          <cell r="F592" t="str">
            <v>Non-destructive testing,crack depth estimation,steel-fiber reinforced concrete,ultrasonic surface waves,dispersion,attenuation</v>
          </cell>
          <cell r="H592" t="str">
            <v>Q4</v>
          </cell>
        </row>
        <row r="593">
          <cell r="B593" t="str">
            <v>10.1891/EMDR-2023-0003</v>
          </cell>
          <cell r="C593" t="str">
            <v>"Introduction:As an innovative procedure, eye movement desensitization and reprocessing (EMDR) 2.0, which is based on standard EMDR, draws attention with its promising results. The adaptation of EMDR 2.0 to groups will be a significant contribution to the psychology literature. Considering the effectiveness of EMDR 2.0 on individual applications, this is a preliminary study that aims to explore the role of EMDR 2.0 on groups by developing the EMDR 2.0 group protocol (EMDR 2.0 GP).Methods:In this pilot study, EMDR 2.0 GP is applied to a group of seven participants who had been exposed to a traffic incident. The role of EMDR 2.0 GP (three sessions; 3.5 hours in total) on posttraumatic stress disorder (PTSD) symptoms, depression, anxiety, and stress was measured. The Impact of Event Scaleâ€”Revised and the Depression-Anxiety-Stress Scale-21 (DASS-21) were used to assess these symptoms at pretreatment, one-week posttreatment, and one-month posttreatment.Results:The participants (mean age = 47.14 Â± 9.65) with a traffic accident experience (mean of the time elapsed = 88.57 Â± 38.24 months) received EMDR 2.0 GP. Results showed that the EMDR 2.0 group had significantly lower depression (Ï‡Â² [2,n= 7] = 9.364,p= .009, Kendallâ€™sW= .668) and stress (Ï‡Â² [2,n= 7] = 8.667,p= .013, Kendallâ€™sW= .619) on the subscales of DASS-21 and lower intrusions (Ï‡Â² [2,n= 7] = 6.333,p= .042, Kendallâ€™sW= .452), avoidance (Ï‡Â² [2,n= 7] = 7.280,p= .026, Kendallâ€™sW= .520), and hyperarousal (Ï‡Â² [2,n= 7]) = 10.800,p= .005, Kendallâ€™sW= .771) at posttreatment.Conclusion:The pilot study of EMDR 2.0 GP indicated that this newly developed protocol that was first applied to the group may be effective in reducing depression, stress, and PTSD symptoms among a nonclinical sample. This pilot study supports future randomized controlled EMDR GP applications."</v>
          </cell>
          <cell r="E593" t="str">
            <v>PSYCHOLOGY|PSYCHOLOGY, CLINICAL</v>
          </cell>
          <cell r="F593" t="str">
            <v>EMDR,EMDR 2,0,trauma,online EMDR,0 Group,telehealth intervention</v>
          </cell>
          <cell r="H593" t="str">
            <v>Q3</v>
          </cell>
        </row>
        <row r="594">
          <cell r="B594" t="str">
            <v>10.1891/VV-D-20-00105</v>
          </cell>
          <cell r="C594" t="str">
            <v>"Although fear of crime is an important issue for international students in a host country, this issue has not been explored in Turkey. The current study aims to fill this gap with data from a sample of 377 international students from a large urban university in Istanbul. The current study applies the incivilities thesis to fear of crime by including individual-level variables, perceived safety, and the perceived crime problem in Istanbul. The structural equation model (SEM) results show that social and physical incivilities do not mediate the relationship between international studentsâ€™ demographic characteristics and fear of crime. The findings indicate that gender is one of the important variables shaping internationals studentsâ€™ fear of crime and the perceived crime problem in Istanbul. By highlighting the importance of investigating international studentsâ€™ fear of crime, the study has important implications for stakeholders in host societies."</v>
          </cell>
          <cell r="E594" t="str">
            <v>CRIMINOLOGY &amp; PENOLOGY</v>
          </cell>
          <cell r="F594" t="str">
            <v>fear of crime,social disorganization theory,international students,Turkey,perceptions of safety</v>
          </cell>
          <cell r="H594" t="str">
            <v>Q4</v>
          </cell>
        </row>
        <row r="595">
          <cell r="B595" t="str">
            <v>10.19128/turje.950335</v>
          </cell>
          <cell r="C595" t="str">
            <v>"The current research is about the impact of the young STEM researchers and practitioners program implemented within the STEM: Integrated teaching project. The aim of the program is to incorporate STEM integrated teaching knowledge in the teacher preparation period. In this phenomenological study, we explored five pre-school teachersâ€™ program experiences and their STEM conceptions. Data were collected with semi-structured interviews, including questions about the impact and elements of the program and participantsâ€™ STEM conceptions. Content analysis showed that awareness for STEM education, development of integrated teaching knowledge, and program elements were the emergent themes about the program experience. Teacher candidates responded to the models that include real-world problems and engineering as contexts as most desirable when shown STEM education models to understand their STEM conceptions. The young STEM researchers and practitioners program can be evaluated as a developing model to be incorporated into teacher education programs. Further research can explore how pre-service teachers form their STEM conceptions and develop their integrated teaching knowledge."</v>
          </cell>
          <cell r="E595" t="str">
            <v>EDUCATION &amp; EDUCATIONAL RESEARCH</v>
          </cell>
          <cell r="F595" t="str">
            <v>Early STEM,Integrated teaching knowledge,STEM education,Teacher education</v>
          </cell>
          <cell r="H595" t="str">
            <v>Q3</v>
          </cell>
        </row>
        <row r="596">
          <cell r="B596" t="str">
            <v>10.20867/thm.27.2.6</v>
          </cell>
          <cell r="C596" t="str">
            <v>"Purpose â€“ Hospitableness is one of the oldest concepts that define human interactions. Many conceptual and empirical studies have discussed and attempted to capture what this concept means. Some recent studies measured what hospitableness means; however, the cultural differences in hospitableness have not been documented empirically. The current study measured what hospitableness means in Turkish culture. Design/Methodology/Approach â€“ A mixed-method was used in data collection since the cultural context requires a constructivist approach to identify the nuances and intricacies of the highly cultural concept of hospitableness. Using a 26-item scale of hospitableness with the consolidated and new items, an online sample (N=307) was recruited to collect the data. The reliability and validity of the scale were tested using Principal Component Analysis (PCA) with IBMâ€™s SPSS 24 and Partial Least Squares-Confirmatory Factor Analysis (PLS-CFA) using SmartPLS 3.0. Findings â€“ Open-ended questions revealed several additional items, some of which cannot be even directly translated into English (e.g., generous-hearted, gÃ¶nlÃ¼ bol in Turkish). PCA and CFA procedures revealed a detailed, complicated, and nuanced structure of the hospitableness concept in Turkish culture. The study revealed 19 hospitableness items loading onto six factors; lenience, grace, compassion, civility, proficiency, and veracity, with increasing levels of contributions to Turkish hospitableness in that order. Originality of the research â€“ A measure of hospitableness designed in one culture may be too narrow or too detailed in another culture. Cultural differences need to be carefully handled by the industry; education of both sides may be needed to avoid the cultural clash, disorientation, and even worsening prejudices. This study empirically displays the heavy cultural influence on the concept of hospitableness, which is a common assumption. The study provides empirical evidence for the need to approach cultural concepts with a realist paradigm to capture them in their reality in different cultural contexts."</v>
          </cell>
          <cell r="E596" t="str">
            <v>HOSPITALITY, LEISURE, SPORT &amp; TOURISM</v>
          </cell>
          <cell r="F596" t="str">
            <v>Hospitality,altruistic hospitality,commercial hospitality,hospitableness,Turkish culture</v>
          </cell>
          <cell r="H596" t="str">
            <v>Q3</v>
          </cell>
        </row>
        <row r="597">
          <cell r="B597" t="str">
            <v>10.20964/2021.10.27</v>
          </cell>
          <cell r="C597" t="str">
            <v>"1 Nanotechnology and Catalysis Research Center (NANOCAT), University of Malaya, 50603 Kuala Lumpur, Malaysia 2 Physics Department, Faculty of Science, University of Sidi-Bel-Abbes, 22000-Algeria 3 Department of Mechatronics Engineering, Faculty of Engineering and Natural Sciences, Bahcesehir University, 34349 Besiktas, Istanbul, Turkey 3 Physics Department, Faculty of Science, King Khalid University, P.O. Box 9004, Abha 61413, Saudi Arabia. 4 Physics Department, Faculty of Science, King Khalid University, P.O. Box 9004, Abha 61413, Saudi Arabia. 5 Physics Department, Faculty of Education, Ain Shams University, P.O. Box 5101, Heliopolis 11771, Roxy, Cairo, Egypt E-mail: yaldouri@yahoo.com"</v>
          </cell>
          <cell r="E597" t="str">
            <v>ELECTROCHEMISTRY</v>
          </cell>
          <cell r="F597" t="str">
            <v>VO2,Optical,Sol-gel</v>
          </cell>
          <cell r="H597" t="str">
            <v>Q4</v>
          </cell>
        </row>
        <row r="598">
          <cell r="B598" t="str">
            <v>10.21101/cejph.a6117</v>
          </cell>
          <cell r="C598" t="str">
            <v>"OBJECTIVES\nVitamin D is a fat-soluble, prohormone vitamin that is important especially for bone mineralization and skeletal health. In recent years, vitamin D deficiency appeared as a worldwide problem, affecting many people in different ways including the Northern Cypriot population. The deficiency might be caused by the lack of exposure to sunlight, diet low in vitamin D, sedentary lifestyle, and also due to some genetic variations in the vitamin D receptor (VDR) gene.\n\n\nMETHODS\nIn this study, four common VDR polymorphisms and associations with vitamin D deficiency in the Turkish Cypriot population between ages 18-40 and working in office conditions was studied by PCR- RFLP analysis.\n\n\nRESULTS\nrs2228570 C&gt;T variant was shown to be significantly associated with low serum vitamin D levels in the studied population.\n\n\nCONCLUSION\nTogether with the effect of rs2228570 C&gt;T variant in the VDR gene, it is thought that the lifestyle changes in the Turkish Cypriot population might have caused the increased frequency of vitamin D deficiency in the young professionals."</v>
          </cell>
          <cell r="E598" t="str">
            <v>PUBLIC, ENVIRONMENTAL &amp; OCCUPATIONAL HEALTH|PUBLIC, ENVIRONMENTAL &amp; OCCUPATIONAL HEALTH</v>
          </cell>
          <cell r="F598" t="str">
            <v>vitamin D deficiency,VDR,polymorphism,young professionals,Turkish Cypriots</v>
          </cell>
          <cell r="H598" t="str">
            <v>Q4</v>
          </cell>
        </row>
        <row r="599">
          <cell r="B599" t="str">
            <v>10.21121/eab.1008669</v>
          </cell>
          <cell r="C599" t="str">
            <v>"Service quality is one of the most important issues in railway transportation because it is a concept that positively affects customer satisfaction, customer loyalty, corporate image, and intention to repurchase. The European Foundation of Quality Management (EFQM) Excellence Model provides an opportunity to facilitate the service quality-focused self-assessment efforts of the railway companies. This is the first study that integrates intuitionistic fuzzy theory in the application of the EFQM Model of railway industry in Turkey. As the main contribution, it is aimed to find a dedicatedly special weighting schema for the application of EFQM model in railway transportation. For this purpose, Analytic Hierarchy Process (AHP) is utilized with an integration of intuitionistic fuzzy sets that can reveal the decision-makersâ€™ opinions, preferences, and expertise more comprehensively than traditional fuzzy sets can do. Consequently, it is found that the original model should be modified for the railway industry since the weights of all the criteria included in the model are found different than the original ones. The study provides new insights into the long-term benefits of applying the EFQM model as a framework in railway transportation and understanding the associations between the EFQM criteria and railway transportation."</v>
          </cell>
          <cell r="E599" t="str">
            <v>ECONOMICS</v>
          </cell>
          <cell r="F599" t="str">
            <v>EFQM excellence model,Analytic Hierarchy Process,Intuitionistic Fuzzy Sets,Self-assessment,Railway Industry</v>
          </cell>
          <cell r="H599" t="str">
            <v>Q4</v>
          </cell>
        </row>
        <row r="600">
          <cell r="B600" t="str">
            <v>10.21449/ijate.907186</v>
          </cell>
          <cell r="C600" t="str">
            <v>"This study aims to examine the relations and associations between gender, epistemic curiosity (EC), self-regulated learning (SRL), and attitudes toward e-learning in higher education students. The participants were 2438 (862 males, 1576 females) undergraduate students enrolled in a Turkish university. The regression analysis findings showed that although the effect size was low, attitudes towards e-learning can be predicted significantly by gender, EC, and SRL. Datasets are further analyzed using data mining. The findings of the association rule mining revealed that gender plays an influential role. Several association rules among EC, SRL, and attitudes towards e-learning were detected for female students.  The results provide recommendations about using data mining as a statistical method in educational and psychological research."</v>
          </cell>
          <cell r="E600" t="str">
            <v>EDUCATION &amp; EDUCATIONAL RESEARCH</v>
          </cell>
          <cell r="F600" t="str">
            <v>E-learning,Epistemic curiosity,Self-regulated learning,Data mining,Association rule</v>
          </cell>
          <cell r="H600" t="str">
            <v>Q3</v>
          </cell>
        </row>
        <row r="601">
          <cell r="B601" t="str">
            <v>10.2147/IJWH.S419014</v>
          </cell>
          <cell r="C601" t="str">
            <v>"Purpose A significant increase in physical intimate partner violence (IPV) cases has been reported from many countries during the COVID-19 pandemic, and particularly during lockdown periods. The current studyâ€™s objectives are to define the COVID-19 pandemicâ€™s impact on physical IPV against pregnant women in Ankara. Patients and Methods During the one-year pre-pandemic and two-year pandemic, records of patients who sent by the judicial authorities to the Obstetrics and Gynecology Emergency Room (ER) at Ankara City Hospital were reviewed, and pregnant women who had been subjected to IPV were identified. Results Of pregnant women 19.1% in the pre-pandemic period, 29.4% in the first year and 51.5% in the second year of the pandemic period exposed to IPV. The mean age of IPV victims was 28.8 Â± 6.5 years. Most ER applications were in the evening hours (48.5%), and majority of assailants were the victimâ€™s husband (77.9%). Vast majority of victims were multigravida women (89.7), and most of the traumas were localized in abdomen and genitalia (50%). Three of the women (4.4%) had miscarriage. Conclusion The increase in cases of IVP against pregnant women during the pandemic was striking, according to the current study. We think that this first study from Turkey on the IPV that pregnant women are exposed to during the pandemic can lead to extensive research focused on measures against IPV during pandemics, such as dissemination of telephone applications for IPV victims, increasing home visits by marriage therapists, and intensifying of education campaigns against violence."</v>
          </cell>
          <cell r="E601" t="str">
            <v>OBSTETRICS &amp; GYNECOLOGY</v>
          </cell>
          <cell r="F601" t="str">
            <v>COVID-19,pregnancy,intimate partner violence,women</v>
          </cell>
          <cell r="H601" t="str">
            <v>Q3</v>
          </cell>
        </row>
        <row r="602">
          <cell r="B602" t="str">
            <v>10.2174/0929866529666220426121245</v>
          </cell>
          <cell r="C602" t="str">
            <v>"\nBackground:\nIsolated pituitary gland metastasis is an extremely rare event in renal cell carcinoma.\nWe present a unique case of isolated pituitary metastasis of renal cell carcinoma and a systematic\nreview of literature on it.\n\n\nCase report:\nIn this case, an abdominal ultrasound in an asymptomatic 51-year-old female patient\nshowed a mass in her left kidney. Radical nephrectomy was performed and the tumor was diagnosed as\na stage 1 clear cell carcinoma. Throughout the 3 months of the follow-up period, the patient started\ncomplaining of visual disturbances and headaches. A pituitary mass was found on brain magnetic resonance\nimaging and was suspected to be a macroadenoma. Surgical resection of the tumor was performed\nand the final pathological diagnosis was made as a pituitary metastasis of the renal cell carcinoma.\nAfter surgery, radiotherapy with sunitinib, a receptor tyrosine inhibitor, was performed.\n\n\nConclusion:\nThe clinical symptoms are usually related to the mass effect of the tumor and anterior\npituitary involvement. Most of the cases mimic pituitary macroadenoma on MRI. The most preferred\ntreatment combination is surgery and radiotherapy. We recommend adding sunitinib to this combination.\nThis illustrative case and those found in a systematic review of the literature highlight the importance\nof histopathologic diagnosis and appropriate management since isolated pituitary metastasis is\nchallenging to preoperative diagnosis.\n"</v>
          </cell>
          <cell r="E602" t="str">
            <v>RADIOLOGY, NUCLEAR MEDICINE &amp; MEDICAL IMAGING</v>
          </cell>
          <cell r="F602" t="str">
            <v>Pituitary metastasis,renal cell carcinoma,magnetic resonance imaging,treatment,Oncology,radiotherapy,surgery</v>
          </cell>
          <cell r="H602" t="str">
            <v>Q4</v>
          </cell>
        </row>
        <row r="603">
          <cell r="B603" t="str">
            <v>10.2174/0929867329666220627121416</v>
          </cell>
          <cell r="C603" t="str">
            <v>"\nAbstract:\nThe COVID-19 outbreak caused by the Severe Acute Respiratory Syndrome\nCoronavirus 2 (SARS-CoV-2) continues to have high incidence and mortality rate globally.\nTo meet the increasingly growing demand for new therapeutic drugs and vaccines, researchers\nare developing different diagnostic techniques focused on screening new drugs\nin clinical use, developing an antibody targeting a SARS-CoV-2 receptor, or interrupting\ninfection/replication mechanisms of SARS-CoV-2. Although many prestigious research\npublications are addressing this subject, there is no open access platform where all experimental\ntechniques for COVID-19 research can be seen as a whole. Many researchers\nhave accelerated the development of in silico methods, high-throughput screening techniques,\nand in vitro assays. This development has played an important role in the emergence\nof improved, innovative strategies, including different antiviral drug development,\nnew drug discovery protocols, combinations of approved drugs, and setting up new drug\nclasses during the COVID-19 outbreak. Hence, the present review discusses the current\nliterature on these modalities, including virtual in silico methods for instant ligand- and\ntarget-driven based techniques, nucleic acid amplification tests, and in vitro models\nbased on sensitive cell cultures, tissue equivalents, organoids, and SARS-CoV-2 neutralization\nsystems (lentiviral pseudotype, viral isolates, etc.). This pack of complementary\ntests informs researchers about the accurate, most relevant emerging techniques available\nand in vitro assays allow them to understand their strengths and limitations. This review\ncould be a pioneer reference guide for the development of logical algorithmic approaches\nfor new drugs and vaccine strategies against COVID-19.\n"</v>
          </cell>
          <cell r="E603" t="str">
            <v>BIOCHEMISTRY &amp; MOLECULAR BIOLOGY|CHEMISTRY, MEDICINAL|PHARMACOLOGY &amp; PHARMACY</v>
          </cell>
          <cell r="F603" t="str">
            <v>High-throughput screening,SARS-CoV-2,COVID-19,in vitro assay,in silico screening,drug repurposing</v>
          </cell>
          <cell r="H603" t="str">
            <v>Q2</v>
          </cell>
        </row>
        <row r="604">
          <cell r="B604" t="str">
            <v>10.2174/1573398X19666230320164227</v>
          </cell>
          <cell r="C604" t="str">
            <v>"\nObjective:\nIn this study, we investigated the risk factors affecting mortality of critically ill COVID-19-related acute respiratory distress syndrome (ARDS) patients who were followed up in the intensive care unit (ICU) and received tocilizumab and favipiravir treatments together before vaccination.\n\n\nMaterials and Methods:\nThe data of patients who were followed up and treated between 1, July 2020 and 5, October 2020 were retrospectively analyzed. Demographic data of the patients (age, gender), acute physiology and chronic health evaluation score II (APACHE II), sequential organ failure assessment (SOFA) score, RT-PCR of oro-nasopharyngeal swabs, the severity of ARDS on the day of tocilizumab admission, time from RT-PCR positivity to tocilizumab administration, respiratory support treatments, all other medical treatments, and ICU outcomes were recorded. Risk factors affecting mortality were evaluated with multiple regression analysis.\n\n\nResults:\nA total of 60 patients with a median age of 69.8 (24-87) years, 25 females and 35 males were included in the study. The mean APACHE II score was 18.9 Â± 8.0, and the SOFA score was 4.5 Â± 2.0. Fifty-two (86.7%) patients had positive oro-nasopharyngeal swabs for SARS-CoV-2 by RT-PCR; (13,3%) patients had positive IgM/Ig G rapid antibody tests for SARS-CoV-2. Tocilizumab was given on an average of 2.5th days (Â± 2.0 days). On the day of tocilizumab administration, 1 (1.7%) patient had mild ARDS, 30 (50.0%) had moderate ARDS, and 29 (48.3%) had severe ARDS. The PaO2/FIO2 ratio of the study group on the day of tocilizumab administration was 96.7 Â± 36.6 mmHg. Thirty-four (56.7%) patients were intubated during follow-up. Forty (66.7%) patients died, while 20 (33.3%) patients were transferred to the ward. The mean length of stay in the ICU was 11.4 Â± 5.5 days. Advanced age (Hazard ratio (HR) 1.8; 95% confidence interval (CI) 0.88-0.93; p &lt; 0.001), higher APACHE II score (HR 0.81, 95% CI 0.74-0.98; p = 0.001), higher SOFA score on the day of tocilizumab administration (HR 1.47, 95% CI 0.39-0.79; p = 0.001), and lower PaO2/FIO2 ratio (HR 2.54, 95% CI 2.33-3.79; p &lt; 0.001) were determined as independent risk factors for mortality.\n\n\nConclusion:\nPatients administered tocilizumab and favipiravir in our ICU were mostly patients with moderate-severe ARDS and had higher inflammatory markers. The reason for the high mortality in this study was attributed to the fact that all of the patients had moderate-severe COVID-19-related ARDS, rather than severe COVID-19.\n"</v>
          </cell>
          <cell r="E604" t="str">
            <v>RESPIRATORY SYSTEM</v>
          </cell>
          <cell r="F604" t="str">
            <v>COVID-19,SARS-CoV-2,acute respiratory distress syndrome,interleukin-6,tocilizumab,favipiravir,mortality</v>
          </cell>
          <cell r="H604" t="str">
            <v>Q4</v>
          </cell>
        </row>
        <row r="605">
          <cell r="B605" t="str">
            <v>10.2174/1573405619666221124104754</v>
          </cell>
          <cell r="C605" t="str">
            <v>"\nBackground:\nPineal region solitary fibrous tumors (SFT) incorporate a histologic spectrum\nof rarely metastasizing mesenchymal neoplasms that include tumors formerly classified as hemangiopericytoma.\n\n\nCase Report:\nHere, we describe a rare case of SFT of the pineal region in a 25-year-old man with a\nliterature review. After the first surgery, the tumor reappeared as a local low-grade recurrence, followed\nby metastasis to the right parietal lobe, and then hyperacute intraparenchymal hematoma at the\nmetastatic site, and later presentation of widespread intracranial intra-axial and extra-axial metastases\nduring the follow-up period. Systemic metastases were not detected. The histopathological evaluation\nof the resected tissues confirmed the malignant progression of the tumor.\n\n\nConclusion:\nThe diagnosis of SFT of the pineal region through clinical and imaging features can be\nconsiderably challenging. Large size, intratumoral cystic areas, and intense contrast enhancement are\nthe main conventional imaging characteristics of the tumor. Surgery is the first preferential treatment.\nAll recurrent or metastatic cases were grade II or grade III tumors. Adjuvant radiotherapy should be\nadded to surgical treatment in high-grade tumors. Gamma knife radiosurgery is a treatment option for\nintracranial metastases.\n"</v>
          </cell>
          <cell r="E605" t="str">
            <v>RADIOLOGY, NUCLEAR MEDICINE &amp; MEDICAL IMAGING</v>
          </cell>
          <cell r="F605" t="str">
            <v>Pineal region,hemangiopericytoma,solitary fibrous tumor,magnetic resonance imaging,treatment,oncology,radiotherapy,surgery</v>
          </cell>
          <cell r="H605" t="str">
            <v>Q4</v>
          </cell>
        </row>
        <row r="606">
          <cell r="B606" t="str">
            <v>10.2174/1573405619666230213152949</v>
          </cell>
          <cell r="C606" t="str">
            <v>"\nBackground:\nDiffuse leptomeningeal glioneuronal tumors (DL-GNT) are rare glioneuronal\nneoplasms with oligodendroglioma-like cells. These tumors can present as a dominant intracranial\nmass or as a solitary spinal cord mass without leptomeningeal involvement. In this study, we aimed to\ndetermine the magnetic resonance imaging and histopathological features, treatment modalities, and\nclinical outcomes of the parenchymal forms of DL-GNTs.\n\n\nMethods:\nThis is a retrospective three-center case series study of 5 patients with a confirmed parenchymal\nform of DLGTs, out of which 4 patients were adults. Brain and spinal cord MR imaging were\nperformed in all patients at either 1.5 or 3T. The patients' age ranged from 5 years to 50 years with a\nmean age of 27.6 years at presentation.\n\n\nResults:\nFour of the tumors were located in the frontal lobe, and one in the tectum. They were usually\nsolid-cystic enhancing tumors as the other mixed neuronal-glial tumors. All of the tumors had an extension\nto the superficial surface of a cerebral hemisphere. One had systemic bone metastases. The\nclinical signs and symptoms of the parenchymal form varied based on the location of the mass, in contrast\nto the leptomeningeal form associated with hydrocephalus. In one case, the tumorâ€™s initial grade\nwas defined as intermediate. The initial histopathology of the two cases was low-grade and no upgrade\noccurred in the follow-up period. In two cases, although the tumors were low grade initially, they\nprogressed to an anaplastic form in the follow-up period.\n\n\nConclusion:\nThe parenchymal form of DL-GNTs is common in adults. Extension to the superficial\nsurface of a cerebral hemisphere is a distinctive imaging feature. Systemic osseous metastasis may\noccur. Due to the presence of common histopathological features, including the biphasic composition\nof glial and neuronal cell elements and oligodendroglioma-like cells, a proposed classification approach\nmight be more beneficial for the histopathological and imaging description, and management of\nthe glioneuronal tumors with oligodendroglioma-like features.\n"</v>
          </cell>
          <cell r="E606" t="str">
            <v>RADIOLOGY, NUCLEAR MEDICINE &amp; MEDICAL IMAGING</v>
          </cell>
          <cell r="F606" t="str">
            <v>Diffuse leptomeningeal glioneuronal tumor,glioneuronal tumor with oligodendroglioma-like cells,magnetic resonance imaging,histopathology,immunohistochemistry,CNS</v>
          </cell>
          <cell r="H606" t="str">
            <v>Q4</v>
          </cell>
        </row>
        <row r="607">
          <cell r="B607" t="str">
            <v>10.2174/1874467214666210219145445</v>
          </cell>
          <cell r="C607" t="str">
            <v>"Objective:The present study aims to evaluate the antioxidant effect of beta-glucan on oxidative DNA damage by comet assay.Methods:A total of 19 adult females and males diagnosed with stage 3-4 colorectal cancer and a control group of 20 age-matched healthy subjects were enrolled in the study. Blood samples of the participants were analyzed using Comet Assay for the parameters of DNA damage.Results:Significantly increased DNA damage was observed in patients versus the control group as indicated by greater values of tail moment, tail percent DNA and tail length. Following incubation with Î²-glucan, a substantial reduction was found in the aforementioned parameters of DNA damage. Comet assay revealed significant levels of endogenous DNA damage in patients as shown by remarkable increases in the tail moment, the percentage of DNA in the tail and the tail length values, in comparison with the control group. Following treatment of fresh whole blood with Î²-glucan incubation, DNA damages were significantly reduced, but lower values were observed after Î²-glucan incubation in the patient group versus control group.Conclusion:Î²-Glucan was found to reduce DNA damage substantially in colorectal cancer patients and show antimutagenic effects. Our results suggested that dietary Î²-glucan intake might be important in the genesis of colorectal cancer tumors."</v>
          </cell>
          <cell r="E607" t="str">
            <v>BIOCHEMISTRY &amp; MOLECULAR BIOLOGY|PHARMACOLOGY &amp; PHARMACY</v>
          </cell>
          <cell r="F607" t="str">
            <v>Antioxidant effect,beta-glucan,colorectal cancer,comet assay,DNA damage</v>
          </cell>
          <cell r="H607" t="str">
            <v>Q3</v>
          </cell>
        </row>
        <row r="608">
          <cell r="B608" t="str">
            <v>10.22034/cmde.2020.34163.1563</v>
          </cell>
          <cell r="C608" t="str">
            <v>"The cardiovascular system is an extremely intelligent and dynamic system which adjusts its performance depending on the individual's physical and environmental conditions. Some of these physical and environmental conditions may create slight disruptions in the cardiovascular system leading to a variety of diseases. Since prevention has always been preferable to treatment, this paper examined the Instantaneous Pressure-Volume Relation (IPVR) and also the pressure of the artery root. The fuzzy mathematics as a powerful tool is used to evaluate and predict the status of an individual's blood pressure. The arterial pressure is modeled as a first-order fuzzy differential equation and an analytical solution for this equation is obtained and an example show the behavior of the solution. The risk factors using fuzzy rules are assessed, which help diagnose the status of individual's blood pressure. Using the outcome by drawing the individual's attention to these risk factors, the individual's health is improved. Moreover, in this study adaptive neuro-fuzzy inference system (ANFIS) models is evaluated to predict the status of an individual's blood pressure on the basis of the inputs."</v>
          </cell>
          <cell r="E608" t="str">
            <v>MATHEMATICS, APPLIED</v>
          </cell>
          <cell r="F608" t="str">
            <v>Fuzzy instant pressure volume,Generalized Hukuhara difference,Generalized Hukuhara differentiable,Characterization theorem,Fuzzy output blood flow theorem,Fuzzy blood flow back theorem,Fuzzy model of arterial pressure,Adaptive neuro-fuzzy inference system</v>
          </cell>
          <cell r="H608" t="str">
            <v>Q2</v>
          </cell>
        </row>
        <row r="609">
          <cell r="B609" t="str">
            <v>10.22034/cmde.2021.40288.1758</v>
          </cell>
          <cell r="C609" t="str">
            <v>"In this paper, a reliable new scheme is presented based on combining Reproducing Kernel Method (RKM) with a practical technique for the nonlinear problem to solve the System of Singularly Perturbed Boundary Value Problems (SSPBVP). The Gram-Schmidt orthogonalization process is removed in the present RKM. However, we provide error estimation for the approximate solution and its derivative. Based on the present algorithm in this paper, can also solve linear problem. Several numerical examples demonstrate that the present algorithm does have higher precision."</v>
          </cell>
          <cell r="E609" t="str">
            <v>MATHEMATICS, APPLIED</v>
          </cell>
          <cell r="F609" t="str">
            <v>Reproducing kernel method,Singularly perturbed BVPs,Convergence analysis,Error analysis,System of differential equations</v>
          </cell>
          <cell r="H609" t="str">
            <v>Q2</v>
          </cell>
        </row>
        <row r="610">
          <cell r="B610" t="str">
            <v>10.22037/uj.v20i.7410</v>
          </cell>
          <cell r="C610" t="str">
            <v>"AIM\nThe aim of this study is to evaluate the factors affecting treatment success in patients who underwent Shock wave lithotripsy (SWL) for ureter stones and to investigate the effect of Storz Medical Lithotripsy Index (SMLI) on treatment effectiveness in ureteric stones.\n\n\nMETHOD\nProspective data was collected on patients undergoing SWL treatment for ureter stones between January 2013 and May 2021. Stone location, number, and size were determined with Non contrast CT (NCCT) for all patients. All patients underwent SWL with a Storz Modulith SLK lithotripsy machine with local anaesthesia. The total amount of energy applied to the stone was calculated using the Storz Medical Lithotripsy Index (SMLI). All patients were evaluated for stone-free status by X-ray at least 2 weeks after treatment. The success of the procedure was defined as the patient being completely stone free (SF) or detection of residual fragments &lt; 4 mm that did not require further treatment Results: A total of 1199 patients with ureter stones were included in the study. The mean age of the patients was 43.11Â±10.65(18-73), and the mean BMI was 27.87Â±8.12(19.02-38.65). During SWL, 89.3% of patients demonstrated excellent pain tolerance (1070/1199). A total of 119 patients could not tolerate pain during SWL (10.7%). Treatment success was associated with fewer treatment sessions (2.04Â±1.64 vs. 2.50Â±1.48; p&lt;0.001), smaller stone size (7.35Â±2.99 vs. 9.02Â±3.81; p&lt;0.001) and higher SMLI/stone size (29.70Â±17.48Â Â  vs. 24.98Â±16.01; p&lt;0.001). In the univariate and multivariate regression analysis, the factors affecting the success of the treatment were the number of sessions (OR: 1.147), stone size (OR: 1.112), SMLI/stone size (OR: 1.115) and pain tolerance (OR: 0.740).\n\n\nCONCLUSION\nIn the treatment of ureteral stones with SWL, number of sessions, stone size, SMLI/stone size, and pain tolerance are the factors affecting success. SMLI per stone size is a statistically significant factor for predicting SWL success."</v>
          </cell>
          <cell r="E610" t="str">
            <v>UROLOGY &amp; NEPHROLOGY</v>
          </cell>
          <cell r="F610" t="str">
            <v>urolithiasis,SWL,treatment,predictive factor,SMLI,ureteric stones</v>
          </cell>
          <cell r="H610" t="str">
            <v>Q4</v>
          </cell>
        </row>
        <row r="611">
          <cell r="B611" t="str">
            <v>10.22075/ijnaa.2020.21716.2289</v>
          </cell>
          <cell r="C611" t="str">
            <v>"In this paper, we employed fuzzy transforms to present a new method for solving the problem through second-order fuzzy initial value. The advantage of the fuzzy transform method is that, unlike other methods (e.g. high-order fuzzy Taylor series), it does not require any higher-order derivative calculation, thus reducing computational cost. In two examples, the results of the newly proposed method were examined against several conventional methods, indicating the more desirable performance of the new method."</v>
          </cell>
          <cell r="E611" t="str">
            <v>MATHEMATICS</v>
          </cell>
          <cell r="F611" t="str">
            <v>Differential equations,Second-order initial value problem (IVP),Fuzzy transform method</v>
          </cell>
          <cell r="H611" t="str">
            <v>Q1</v>
          </cell>
        </row>
        <row r="612">
          <cell r="B612" t="str">
            <v>10.2217/bmm-2021-1055</v>
          </cell>
          <cell r="C612" t="str">
            <v>"Aim: New parameters are emerging to predict prognosis in patients with ST-segment elevation myocardial infarction (STEMI). In this study we aimed to determine and compare the prognostic values of some metabolic indices in terms of predicting long-term mortality in patients with STEMI. Method: A total of 1900 nondiabetic patients who presented with STEMI and underwent percutaneous coronary intervention were included in the study. Multivariable Cox proportional regression analysis was used to determine and compare the predictive performance of triglyceride-glucose (TyG) index, triglyceride-high density lipoprotein ratio (Ty/HDL) and admission glucose. Results: In multivariable Cox regression analysis, the model based on TyG index had better predictive performance than the Ty/HDL and admission blood glucose. Conclusion: The TyG index is more informative than Ty/HDL and admission glucose level to predict long-term all-cause mortality."</v>
          </cell>
          <cell r="E612" t="str">
            <v>MEDICINE, RESEARCH &amp; EXPERIMENTAL</v>
          </cell>
          <cell r="F612" t="str">
            <v>metabolic index,ST-elevation MI,triglyceride-glucose index,triglyceride-HDL index</v>
          </cell>
          <cell r="H612" t="str">
            <v>Q4</v>
          </cell>
        </row>
        <row r="613">
          <cell r="B613" t="str">
            <v>10.2217/fon-2021-1015</v>
          </cell>
          <cell r="C613" t="str">
            <v>"Aim: This study aimed to assess the impact of coronavirus disease 2019 (COVID-19) phobia and related factors on attitude towards COVID-19 vaccine in cancer patients. Methods: A prospective cross-sectional descriptive study was conducted with 300 adult patients using a validated COVID-19 Phobia Scale (C19P-S) and related survey to determine the factors affecting vaccine acceptance between Mayâ€“June 2021. Results: Regarding the COVID-19 vaccine willingness, 86.7% accepted vaccination, 6.3% were hesitant and 7% refused vaccination. Patients that accepted vaccination had significantly higher C19P-S scores in general, and in psychological and psychosomatic subdivisions. Univariate analysis revealed that increased age, being retired, and being married were significantly associated with willingness to be vaccinated against COVID-19. Conclusion: The majority of patients had high coronophobia levels which were associated with increased willingness for the COVID-19 vaccines. Minimizing negative attitudes towards vaccines will most likely be achieved by raising awareness in the cancer population about COVID-19 vaccine."</v>
          </cell>
          <cell r="E613" t="str">
            <v>ONCOLOGY</v>
          </cell>
          <cell r="F613" t="str">
            <v>acceptance,attitude,cancer,Coronavirus-19 phobia,COVID-19,hesitancy,survey,vaccine</v>
          </cell>
          <cell r="H613" t="str">
            <v>Q3</v>
          </cell>
        </row>
        <row r="614">
          <cell r="B614" t="str">
            <v>10.2298/FIL2115031A</v>
          </cell>
          <cell r="C614" t="str">
            <v>"In the present paper, considering the differential equations on smooth closed\n   manifolds, we investigate and establish the well-posedness of boundary value\n   problems nonlocal type for parabolic equations and also hyperbolic equations\n   in H?lder spaces. Furthermore, in various H?lder norms we establish new\n   coercivity estimates for the solutions of such type parabolic boundary value\n   problems on manifolds and hyperbolic boundary value problems on manifolds as\n   well."</v>
          </cell>
          <cell r="E614" t="str">
            <v>MATHEMATICS|MATHEMATICS, APPLIED</v>
          </cell>
          <cell r="F614" t="str">
            <v>Differential equations on manifolds,well-posedness,self-adjoint positive definite operator</v>
          </cell>
          <cell r="H614" t="str">
            <v>Q2</v>
          </cell>
        </row>
        <row r="615">
          <cell r="B615" t="str">
            <v>10.2298/FIL2201231G</v>
          </cell>
          <cell r="C615" t="str">
            <v>"Using Mawhin?s coincidence degree theory, we investigate the existence of\n   solutions for a class of weighted p(t)-Laplacian boundary value problems at\n   resonance and involving left and right Caputo fractional derivatives. An\n   example is provided to illustrate the main existence results."</v>
          </cell>
          <cell r="E615" t="str">
            <v>MATHEMATICS|MATHEMATICS, APPLIED</v>
          </cell>
          <cell r="F615" t="str">
            <v>Boundary value problem,Resonance,Existence of solution,Coincidence degree of Mawhin,Fractional derivative</v>
          </cell>
          <cell r="H615" t="str">
            <v>Q2</v>
          </cell>
        </row>
        <row r="616">
          <cell r="B616" t="str">
            <v>10.2298/FIL2205685S</v>
          </cell>
          <cell r="C616" t="str">
            <v>"In this paper, two collocation methods based on the shifted Legendre\n   polynomials are proposed for solving system of nonlinear Fredholm-Volterra\n   integro-differential equations. The equation considered in this paper\n   involves the derivative of unknown functions in the integral term, which\n   makes its numerical solution more complicated. We first introduce a\n   single-step Legendre collocation method on the interval [0, 1]. Next, a\n   multi-step version of the proposed method is derived on the arbitrary\n   interval [0, T] that is based on the domain decomposition strategy and\n   specially suited for large domain calculations. The first scheme converts\n   the problem to a system of algebraic equations whereas the later solves the\n   problem step by step in subintervals and produces a sequence of systems of\n   algebraic equations. Some error estimates for the proposed methods are\n   investigated. Numerical examples are given and comparisons with other\n   methods available in the literature are done to demonstrate the high\n   accuracy and efficiency of the proposed methods."</v>
          </cell>
          <cell r="E616" t="str">
            <v>MATHEMATICS|MATHEMATICS, APPLIED</v>
          </cell>
          <cell r="F616" t="str">
            <v>Shifted Legendre polynomials,Fredholm-Volterra integro-differential equations,Collocation method</v>
          </cell>
          <cell r="H616" t="str">
            <v>Q2</v>
          </cell>
        </row>
        <row r="617">
          <cell r="B617" t="str">
            <v>10.2298/FIL2209881M</v>
          </cell>
          <cell r="C617" t="str">
            <v>"In this paper, using Caputo-Fabrizio fractional derivative, we obtain some\n   new results for the existence and uniqueness of solutions of differential\n   equation with nonlocal initial value about fractional order 0 &lt; ? &lt; 1 .\n   These results are applied with the help of Arzela-Ascoli theorem and\n   Schauder fixed point. Also based on some ?-contractive maps for such\n   problems, some new unique theorem has been introduced and proved. Finally,\n   some illustrative example is considered to show the effectiveness of the\n   results."</v>
          </cell>
          <cell r="E617" t="str">
            <v>MATHEMATICS|MATHEMATICS, APPLIED</v>
          </cell>
          <cell r="F617" t="str">
            <v>Fractional differential equations,Caputo-Fabrizio derivative,Nonlocal condition,Fixed point</v>
          </cell>
          <cell r="H617" t="str">
            <v>Q2</v>
          </cell>
        </row>
        <row r="618">
          <cell r="B618" t="str">
            <v>10.2298/TSCI190816448P</v>
          </cell>
          <cell r="C618" t="str">
            <v>"In this study, natural convection in a fluid-filled rectangular enclosure is analyzed using COMSOL? commercial software. The fluid in which natural convection takes place is a dielectric liquid called FC-75. Attached to one of the vertical walls of the enclosure is an array of rectangular protrusions, each representing computer chips mounted on a printed circuit board. The nominal power consumed by each chip is assumed to be 0.35, 1.07, 1.65, and 2.35 W. This corresponds exactly to the values used in the experiments, which were performed once by the author of this study. The results of the experiment and the numerical study are shown as Nusselt numbers vs. Rayleigh numbers, both being the most important dimensionless parameters of natural convection. A comparison of the results has shown that COM-SOL? can achieve reliable results in similar problems, eliminating the need to build expensive experimental set-ups and spending time conducting experiments. The simulation results are aimed to be used in similar designs of electronic circuits in confined spaces."</v>
          </cell>
          <cell r="E618" t="str">
            <v>THERMODYNAMICS</v>
          </cell>
          <cell r="F618" t="str">
            <v>heat transfer,natural convection,enclosure,FC-75</v>
          </cell>
          <cell r="H618" t="str">
            <v>Q4</v>
          </cell>
        </row>
        <row r="619">
          <cell r="B619" t="str">
            <v>10.2298/ZIPI2101121K</v>
          </cell>
          <cell r="C619" t="str">
            <v>"Subjective well-being (SWB) has been an intensely studied domain of\n   psychology, predominantly in the field of positive psychology. Due to the\n   nature of teaching as an intellectually, physically and emotionally\n   demanding profession, the last few decades have also witnessed a growing\n   interest in teachers? SWB. The pres?ent study investigated pre-service\n   teachers? (PTs) SWB and explored its relationship to teaching efficacy\n   beliefs and occupational anxiety. A total of 261 PTs enrolled in English\n   Language Teaching departments of five different universities in Turkey\n   participated in the study. Data came from the scales of SWB, teachers?\n   self-efficacy beliefs and occupational anxiety. The findings indicated that\n   PTs had a high level of perceived SWB; female PTs had a significantly higher\n   level of SWB than male ones; PTs? academic year and the type of university\n   they were enrolled in had no signif?icant relationship with their SWB; and\n   both self-efficacy beliefs and occupational anxiety served as significant\n   predictors of PTs? SWB, together explaining 16.2% of the variance in their\n   scores."</v>
          </cell>
          <cell r="E619" t="str">
            <v>EDUCATION &amp; EDUCATIONAL RESEARCH</v>
          </cell>
          <cell r="F619" t="str">
            <v>Subjective wellbeing,self-efficacy beliefs,occupational anxiety,pre-service teachers,English as a foreign language (EFL)</v>
          </cell>
          <cell r="H619" t="str">
            <v>Q4</v>
          </cell>
        </row>
        <row r="620">
          <cell r="B620" t="str">
            <v>10.2339/politeknik.1172615</v>
          </cell>
          <cell r="C620" t="str">
            <v>"RekabetÃ§i ve deÄŸiÅŸen piyasa koÅŸullarÄ±, firmalarÄ±n Ã§evik yaklaÅŸÄ±mlarÄ±n Ã¶nemini her gÃ¼n daha fazla benimsemesine neden olmakta ve Ã§evik yaklaÅŸÄ±mlar da hÄ±zla yaygÄ±nlaÅŸmaktadÄ±r. Bununla birlikte, Ã§evik yaklaÅŸÄ±mlarÄ± takip eden takÄ±mlarÄ±n performanslarÄ±nÄ±n Ã¶lÃ§Ã¼mlenmesi de gÃ¼ndeme gelmektedir. Bir Ã§erÃ§eve sunan Ã§evik yaklaÅŸÄ±mlarda, Ã§eÅŸitli metrikler ile takÄ±mlarÄ±n performanslarÄ± ortaya koyulmaya Ã§alÄ±ÅŸÄ±lÄ±rken, gerÃ§ekleÅŸen performans potansiyelin altÄ±nda kalabilmektedir. Ã‡evik koÃ§lar, takÄ±mlarÄ±n potansiyellerini tam olarak ortaya koyabilmek iÃ§in yÃ¶nlendirici uzmanlar olarak Ã§alÄ±ÅŸmakla birlikte, mevcut durumu da deÄŸerlendirebilecek gÃ¶zlem ve bilgiye sahiptirler. UzmanlarÄ±n gÃ¶rÃ¼ÅŸ ve deÄŸerlendirmelerini iÃ§eren verilerin, takÄ±m baÅŸarÄ± sÄ±nÄ±flandÄ±rmasÄ±nda kullanÄ±lmasÄ± Ã‡ok Kriterli Karar Verme yÃ¶ntemleri ile mÃ¼mkÃ¼n olmaktadÄ±r. Ã–ncelikle, literatÃ¼r ve uzman deÄŸerlendirmeleriyle 23 baÅŸarÄ± kriteri belirlenmiÅŸ ve Analitik HiyerarÅŸi SÃ¼reci (AHS) yÃ¶ntemi kullanÄ±larak her kriterin, takÄ±mÄ±n baÅŸarÄ±sÄ±na etkisinin Ã¶nem aÄŸÄ±rlÄ±ÄŸÄ± hesaplanmÄ±ÅŸtÄ±r. Daha sonra, Scrum takÄ±mlarÄ±nÄ±n baÅŸarÄ± sÄ±nÄ±flandÄ±rmasÄ±, TOPSIS-sort-B ve VIKORsort yÃ¶ntemleri ile yapÄ±lmÄ±ÅŸ; takÄ±mlar Ã‡ok BaÅŸarÄ±lÄ±, BaÅŸarÄ±lÄ± ve Az BaÅŸarÄ±lÄ± olarak performans sÄ±nÄ±flarÄ±na atanmÄ±ÅŸlardÄ±r. YapÄ±lan Ã§alÄ±ÅŸma ile Scrum takÄ±mlarÄ±nÄ±n baÅŸarÄ±larÄ±na gÃ¶re bir sÄ±nÄ±flandÄ±rma elde edilmiÅŸ ve kriterlerin baÅŸarÄ± sÄ±nÄ±fÄ±na etkisini gÃ¶steren ÅŸablonlar yakalanarak, geliÅŸim alanlarÄ±nÄ±n saptanmasÄ± hedeflenmiÅŸtir. OluÅŸturulan model ile takÄ±mlarÄ±n belirli periyotlarla baÅŸarÄ± sÄ±nÄ±flarÄ±nÄ±n deÄŸerlendirilmesi yoluyla sÃ¼rekli geliÅŸim iÃ§in bir karar destek sistemi oluÅŸturulmuÅŸtur.Â "</v>
          </cell>
          <cell r="E620" t="str">
            <v>ENGINEERING, MULTIDISCIPLINARY</v>
          </cell>
          <cell r="F620" t="str">
            <v>Agile project management,Scrum,performance sorting,TOPSIS-sort-B,VIKOR-sort</v>
          </cell>
          <cell r="H620" t="str">
            <v>Q4</v>
          </cell>
        </row>
        <row r="621">
          <cell r="B621" t="str">
            <v>10.2341/21-155-C</v>
          </cell>
          <cell r="C621" t="str">
            <v>"SUMMARY\nThis study evaluated the clinical performance of low-shrinkage bioactive resin composite compared with a conventional nanohybrid resin composite. A total of 35 patients (18 males, 17 females; mean age: 29Â±9 years old) received, randomly, 35 pairs of fillings restored with either low-shrinkage bioactive material employing Giomer filler technology (Beautifil II LS, Shofu Inc, Kyoto, Japan) or conventional nanohybrid resin composite (Clearfil Majesty Posterior, Kuraray, Japan) in Class I and Class II cavities. Two operators made all the restorations using the corresponding adhesive resins: FL-Bond II (Shofu Inc) and Clearfil SE Bond (Kuraray), according to each manufacturerâ€™s instructions. Two calibrated operators evaluated the restorations two weeks after placement (baseline), at six months, and at one and two years using FDI criteria (Scores 1â€“5). Data were analyzed using the McNemar test (Î±=0.05). Mean observation time was 27.4 Â± 4.1 months (min=20.8; max=33.7). In both groups, according to FDI criteria, the restorations were mostly rated with best scores (Score 1 or 2) for biological, functional, and optical parameters. For one filling in the group restored with nanohybrid resin composite, a small and localized secondary caries lesion was observed and monitored at the one- and two-year follow-ups. One restoration in the low-shrinkage Giomer restorative group was accepted as a failure due to retention loss. Over the two-year follow-up, both the Giomer and the nanohybrid resin composite restorationsâ€™ performance was clinically acceptable."</v>
          </cell>
          <cell r="E621" t="str">
            <v>DENTISTRY, ORAL SURGERY &amp; MEDICINE</v>
          </cell>
          <cell r="H621" t="str">
            <v>Q3</v>
          </cell>
        </row>
        <row r="622">
          <cell r="B622" t="str">
            <v>10.23736/S0022-4707.23.15103-6</v>
          </cell>
          <cell r="C622" t="str">
            <v>"BACKGROUND\nThe interest in the effect of gut microbiota on athlete health has increased in recent years. Available data indicate a relationship between gut microbiota composition and physical activity, suggesting that changes in the microbiota may contribute to the host's physical performance. Studies show that leaky gut syndrome is highly correlated with upper respiratory infections and gastrointestinal disorders in endurance sports. This study aims to reveal the relationship between microbiota profiles, and the nutritional status of football players who perform endurance exercises.\n\n\nMETHODS\nTwenty male professional football players playing in one of the Turkish Football Federation Second League clubs participated in the study. Fecal samples were collected and stored at -86 Â°C, and the fecal microbiota was analyzed through 16s rRNA gene sequencing. The body composition of the football players was measured using a bioelectrical impedance analyzer. In addition, the 3-day food intake of the participants was recorded with the help of a dietitian.\n\n\nRESULTS\nIn the microbiota of football players, four phyla, 10 genera, and four species with densities above 1% were found. Body fat percentage was observed to be negatively correlated with the species of Faecalibacterium prausnitzii and Bacteroides vulgatus and the genus of Faecalibacterium (P&lt;0.05). Considering the nutritional status, the fat intake was found to be positively correlated with Actinobacteria and Blautia coccoides; energy and fiber intake with Prevotella and Prevotella copri (P&lt;0.05). In addition, there was a negative correlation between carbohydrate intake and Faecalibacterium (P&lt;0.05).\n\n\nCONCLUSIONS\nOur study is the first to reveal the microbiota profile of professional Turkish football players. It was found that football players' nutritional status and anthropometric measurements of are significantly related to phylum, genus and species ranks in the microbiota. These results support the bidirectional interaction between microbiota and sports. The relationship between microbiota and sports health/performance is thought to be further clarified with future studies."</v>
          </cell>
          <cell r="E622" t="str">
            <v>SPORT SCIENCES</v>
          </cell>
          <cell r="F622" t="str">
            <v>Athletes,Soccer,Microbiota,Nutritional sciences</v>
          </cell>
          <cell r="H622" t="str">
            <v>Q4</v>
          </cell>
        </row>
        <row r="623">
          <cell r="B623" t="str">
            <v>10.23736/S2724-5683.21.05802-6</v>
          </cell>
          <cell r="C623" t="str">
            <v>"BACKGROUND\nThree-dimensional (3D) echocardiography and 3D strain parameters have been used for a comprehensive quantitative assessment of left ventricular (LV) myocardial dynamics. So far, there are no data on sacubitril/valsartan effects on cardiac functions and LV reverse remodeling using 3D echocardiography. This study aimed to evaluate the effects of sacubitril/valsartan on the LV functions using two-dimensional (2D) echocardiography, 3D echocardiography, and the 3D strain parameters.\n\n\nMETHODS\nA single-center prospective cohort study which included 100 heart failure with reduced ejection fraction (HFrEF) patients with guidelines-approved indications for sacubitril/valsartan treatment. Patients received a short course (3-month) of sacubitril/valsartan. 3-month follow-up 2D, 3D echocardiographic parameters, and 3D strain were compared to baseline parameters.\n\n\nRESULTS\nThe results of the study revealed a significant improvement in left ventricular dynamic functions at 3-month follow-up with an improvement in left ventricular systolic function (mean left ventricular ejection fraction (LVEF) increased from 27.65 Â± 4.98% to 32.89 Â± 6.03%, P&lt;0.001). Comparison of HFrEF patients with ischemic and non-ischemic etiologies showed that echocardiographic parameters significantly improved in both groups after 3 months of sacubitril/valsartan treatment. There was no statistically significant difference between both groups regarding echocardiographic parameters at baseline and 3-month follow-up.\n\n\nCONCLUSIONS\nIn a single-center prospective observational cohort study evaluating the effects of short-term (3-month course) sacubitril/valsartan treatment on LV dynamics assessed by 3D echocardiography and 3D strain, sacubitril/valsartan was associated with a significant improvement of LV systolic functions and reverse remodeling effects in both ischemic and non-ischemic HFrEF patients."</v>
          </cell>
          <cell r="E623" t="str">
            <v>CARDIAC &amp; CARDIOVASCULAR SYSTEMS</v>
          </cell>
          <cell r="F623" t="str">
            <v>Heart Failure,systolic,Sacubitril,Valsartan,Echocardiography,three-dimensional,Ventricular remodeling</v>
          </cell>
          <cell r="H623" t="str">
            <v>Q3</v>
          </cell>
        </row>
        <row r="624">
          <cell r="B624" t="str">
            <v>10.23749/mdl.v113i3.12897</v>
          </cell>
          <cell r="C624" t="str">
            <v>"Background: Work related diseases (WRDs) and occupational diseases (ODs) greatly affect call center operators (CCOs) who experience demanding work expectations and adverse working conditions in their workplace. The aim of this study was to evaluate the sociodemographic and job characteristics of CCOs diagnosed with OD, and to describe the changes in employment status after diagnosis. Methods: This descriptive study is based on the electronic data records of Istanbul Occupational Diseases Hospital available from February 2007 to March 2018. Results: According to the health board reports, 122 of the 173 (70.5%) CCOs had a confirmed OD diagnosis, 85.2% were females and the mean age was 27.5 years. Vocal cord disorders were the most frequent ODs (64.8%), followed by hearing loss (12.5%), dysphonia (10.2%) and temporomandibular disorders (4.7%). Vocal cord nodules (VCN) were found to be more frequent among females compared to males (92.9% vs 62.4%, p&lt;0.001). Although not statistically significant, the frequency of VCN was also higher in subjects working overtime (14.6% vs 6.3%), having gastroesophageal reflux disease (82.3% vs 73.9%) or thyroid nodules (100% vs 73.7%) and being current smokers (41.7% vs 13.3%). Following the OD diagnosis, 43.8% of the cases were dismissed, 18.7% quit their job, and 9.4% still held the same job position. Only 28.1% changed unit within the workplace. Conclusion: Including the CCOs who were diagnosed with an OD at a very young age and at an early stage of their working life into vocational rehabilitation programs and employing them under appropriate conditions is essential to proper health and safety protocol."</v>
          </cell>
          <cell r="E624" t="str">
            <v>PUBLIC, ENVIRONMENTAL &amp; OCCUPATIONAL HEALTH</v>
          </cell>
          <cell r="F624" t="str">
            <v>Call center operators,call center employees,occupational disease,vocal cord nodules,employment status</v>
          </cell>
          <cell r="H624" t="str">
            <v>Q3</v>
          </cell>
        </row>
        <row r="625">
          <cell r="B625" t="str">
            <v>10.23902/trkjnat.878417</v>
          </cell>
          <cell r="C625" t="str">
            <v>"Psoriasis is a multifactorial chronic inflammatory disorder resulting by the interplay of genetics, the immune system and the environment. It is characterized by the hyperproliferation of epithelial cells, generating red, itchy psoriatic plaques which have no cure but have great negative impact in patientsâ€™ life. Although corticosteroids or vitamin D analogs might help recovery to some extent, there is yet no total cure for the disease. In this study, we sought to generate three-dimensional (3D) stress-related psoriatic skin spheroids with the screening of the potential efficacy of a Î²2-adrenergic receptor agonist, salbutamol. 3D Culture spheroids with human dermal fibroblasts (HDF), human epithelial keratinocytes (HEK) and human monocytic cell line (THP-1) were generated as a representative model of skin and the protocol of stress-related modelling was conducted. The efficacy of the drug salbutamol was evaluated by the changes in mRNA and protein expression levels of selected genes, as well as by several metabolic assays. We developed a method for culturing spherical organoid models of psoriasis in vitro. We tested the potential theurapetic effects of salbutamol on psoriasis spheroids. Spheroids treated with salbutamol indicated the effictiveness of the treatment. 3D spheroid system was found partially efficient for mimicking the physiological features of psoriasis in vitro. This present work may be a starting point for future investigation as it is the first to generate a stress-related psoriatic model and first to try a Î²2 agonist as a potential treatment option. Considering the effects and suitability of topical application of salbutamol, its efficacy should not be underestimated and should be investigated further for translating this knowledge into clinics."</v>
          </cell>
          <cell r="E625" t="str">
            <v>MULTIDISCIPLINARY SCIENCES</v>
          </cell>
          <cell r="F625" t="str">
            <v>Psoriasis,Skin spheroids,3D models,Salbutamol</v>
          </cell>
          <cell r="H625" t="str">
            <v>Q4</v>
          </cell>
        </row>
        <row r="626">
          <cell r="B626" t="str">
            <v>10.2399/yod.21.843580</v>
          </cell>
          <cell r="C626" t="str">
            <v>"The purpose of this study is to examine the views of academics on the uncertainty situations created by the Covid-19 pandemic in higher education institutions. Applying the phenomenological method, one of the qualitative research methods, semi-structured interviews were conducted with academics working at a state university in Turkey. The study group was formed using the maximum variation sampling method, one of the purposeful sampling methods. The data were subjected to content analysis. Similar codes that emerged in the content analysis were grouped under the same themes. The findings show that academics have experienced some educational and bureaucratic uncertainties during the pandemic, most of which are related to remote teaching, course planning, and applied training. In addition, the findings show that the main sources of uncertainty are the process of adaptation to the pandemic, and the Council of Higher Education. The expectation that was highlighted the strongest by the academic staff are being transparent and engaging in joint production activities in combating uncertainty in higher education. The most important expectation from the administrators is asking for and valuing the stakeholder opinions and ideas. The main suggestions offered by the academics regarding the elimination of the uncertainties that arise during the pandemic were taking a joint decision, planned process management, and authorizing the academics."</v>
          </cell>
          <cell r="E626" t="str">
            <v>EDUCATION &amp; EDUCATIONAL RESEARCH</v>
          </cell>
          <cell r="F626" t="str">
            <v>Covid-19,higher education,pandemic,uncertainty</v>
          </cell>
          <cell r="H626" t="str">
            <v>Q4</v>
          </cell>
        </row>
        <row r="627">
          <cell r="B627" t="str">
            <v>10.24425/pjvs.2022.140851</v>
          </cell>
          <cell r="C627" t="str">
            <v>"Growth differentiation factor-9 (GDF-9), an oocyte-derived member of the TGF-Î² superfamily, plays an essential role in regulation of follicular development. This study aimed to determine the cyclic changes in serum GDF-9 concentration, compare its levels before and after ovariohysterectomy (OHE), and investigate its potential as a tool in ovarian remnant syndrome (ORS) diagnosis in cats. GDF-9 measurements were performed on 50 cats referred for routine OHE. The stage of the estrous cycle was determined by vaginal cytology and measurement of serum estradiol and progesterone levels was carried out to detect the cyclic changes in circulating GDF-9. One week after OHE, serum samples were collected again from 30 cats to reveal differences in GDF-9 levels. GDF-9 levels in the follicular phase were significantly higher than those in the interestrus (pâŸ¨0.05). The postoperative analysis could be performed. GDF-9 levels slightly decreased one week after OHE (p=0.053). In conclusion, blood GDF-9 levels change during the estrous cycle, and may decrease with age in cats. However, further studies are needed to reveal the efficiency of GDF-9 in ORS diagnosis."</v>
          </cell>
          <cell r="E627" t="str">
            <v>VETERINARY SCIENCES</v>
          </cell>
          <cell r="F627" t="str">
            <v>cats,growth differentiation factor 9,ovarian cycle,ovary</v>
          </cell>
          <cell r="H627" t="str">
            <v>Q3</v>
          </cell>
        </row>
        <row r="628">
          <cell r="B628" t="str">
            <v>10.2478/ecce-2020-0013</v>
          </cell>
          <cell r="C628" t="str">
            <v>"Abstract\nThe last decade has seen multiple research work on the use of LoRaWAN technology in smart agriculture. In open field storage, monitoring is crucial for increasing the logistics efficiency and improving crop quality. As battery maintenance is expensive in such areas, LoRa is a suitable technology that allows for low-power communications. Within the framework of the research, a prototype has been built for tracking goods in open field storage. The battery lifetime has been analysed through calculations and measurements using LoRa communications. Our findings indicate that although sleeping current has the smallest percentage, it has the greatest effect on increasing the battery life, for longer battery life LoRa node must have a low self-discharge battery, and finally, sensors are the main battery depleting factor on the LoRa node."</v>
          </cell>
          <cell r="E628" t="str">
            <v>ENGINEERING, ELECTRICAL &amp; ELECTRONIC</v>
          </cell>
          <cell r="F628" t="str">
            <v>Agriculture,Battery lifetime,Food storage,IoT,LoRa,Low-power application</v>
          </cell>
          <cell r="H628" t="str">
            <v>Q4</v>
          </cell>
        </row>
        <row r="629">
          <cell r="B629" t="str">
            <v>10.2478/jee-2021-0013</v>
          </cell>
          <cell r="C629" t="str">
            <v>"Abstract\nIn this study, we propose a geometric feature set for 2D shape retrieval. Conventional Hough feature gives the edge locations along with angle and creates Hough table if there are multiple intersections at borders. In this paper, a statistical way to represent the relation of repeating contours at each angle around the shape centroid is presented. The main contribution of this paper is to use the standard deviation of repeating contours. We calculate the angle between the shape centroid and each point on the contour. For each integer angle value, three features were extracted: the number of contour repetitions, the average distance of the points at that angle to the centroid, and the standard deviation of the points at the same angle. Thus, a 2D image was represented by a constant sized matrix, regardless of its size. In the case of similarity between two images, instead of merging features within a single expression, the algorithm picked the feature with the highest similarity rate for that comparison. We tested the proposed method on MPEG-7, Kimia99, ETH-80 datasets for a benchmark with the state-of-the-art. It outperformed most of the recent methods in terms of retrieval rate."</v>
          </cell>
          <cell r="E629" t="str">
            <v>ENGINEERING, ELECTRICAL &amp; ELECTRONIC</v>
          </cell>
          <cell r="F629" t="str">
            <v>computer vision,pattern recognition,pattern matching,image matching,image recognition</v>
          </cell>
          <cell r="H629" t="str">
            <v>Q4</v>
          </cell>
        </row>
        <row r="630">
          <cell r="B630" t="str">
            <v>10.2478/jee-2022-0026</v>
          </cell>
          <cell r="C630" t="str">
            <v>"AbstractShape representation and retrieval are essential research topics of computer vision. This paper proposes a novel feature set to be used in content-based image retrieval systems. The proposed method is an extended version of our previous study which uses contour information of shapes. The previous study calculated the center of mass (CoM) of the shape. By taking the CoM as origin, we created imaginary vectors in every angular direction. From each vector, we extracted three features which are the number of intersections between vector and contour, average distance of intersection points to CoM, and standard deviation of these points. In this method, we extract novel features and decrease the size of the feature set to decrease the computation time. We divide the shape into quadrants and represent each quadrant by nine features. Each shape image is represented by a 4x9 feature vector. We tested the proposed method on MPEG-7 and ETH-80 datasets and compared it with the state-of-art. According to the results, our method decreased the computation time dramatically while giving a state-of-art level retrieval accuracy."</v>
          </cell>
          <cell r="E630" t="str">
            <v>ENGINEERING, ELECTRICAL &amp; ELECTRONIC</v>
          </cell>
          <cell r="F630" t="str">
            <v>image retrieval,shape representation,contour-based feature</v>
          </cell>
          <cell r="H630" t="str">
            <v>Q4</v>
          </cell>
        </row>
        <row r="631">
          <cell r="B631" t="str">
            <v>10.26650/SP2021-1050551</v>
          </cell>
          <cell r="C631" t="str">
            <v>"Epistemic curiosity is the desire to seek and acquire new information that motivates knowledge and exploratory behavior. While epistemic curiosity can stimulate positive feelings of interest related to novelty-seeking behavior and the intrinsic joy of discoveries (I-Type), it can also diminish unpleasant and uncertain experiences, which are associated with the feeling of being deprived of information (D-Type). Given the growing interest in epistemic curiosity and its implications in education, specific assessment tools are needed to measure early indicators of Type-I and Type-D epistemic curiosity, particularly in local contexts. In this study, the reliability and validity of the Turkish version of the I-Type/D-Type Epistemic Curiosity Scale for Young Children were investigated. The 10-item I-Type/D-Type Epistemic Curiosity Scale for Young Children was developed by Piotrowski and colleagues (2014) to assess childrenâ€™s epistemic curiosity based on parentsâ€™ observations. The participants of the study were 636 children (F = 302; M = 334). The ages of the children ranged from 48 to 83 months (M = 68.34; SD = 7.96). Data were obtained from the mothers. The scaleâ€™s factor structure was tested with Confirmatory Factor Analysis. The results showed that the Turkish version of the scale also has a similar two-factor (I-Type/Y-Type) structure to the original scale. Furthermore, for construct validity, zero-order correlations reported a significant positive relationship between self-regulation and I-Type and D-type epistemic curiosity, as hypothesized. Additionally, a partial correlation between curiosity type and self-regulation highlighted the divergence of two I-Type and D-Type epistemic curiosity. These findings indicated that the 10-item, two-factor I-Type/D-Type Epistemic Curiosity Scale for Young Children is reliable and valid for assessing young childrenâ€™s curiosity through mothersâ€™ ratings."</v>
          </cell>
          <cell r="E631" t="str">
            <v>PSYCHOLOGY, MULTIDISCIPLINARY</v>
          </cell>
          <cell r="F631" t="str">
            <v>Early childhood,preschool,epistemic curiosity,scale adaptation</v>
          </cell>
          <cell r="H631" t="str">
            <v>Q4</v>
          </cell>
        </row>
        <row r="632">
          <cell r="B632" t="str">
            <v>10.26650/SP2021-852548</v>
          </cell>
          <cell r="C632" t="str">
            <v>"Research shows that parental motivation is associated with moral sensitivity. Previous research also concurs that high levels of parental motivation are associated with high levels of moral sensitivity. This is grounded in the fact that individualsâ€™ needs allow them to bring a child in a society where moral values are preserved and maintained. By extending previous research, the current study aims to examine the mediative role of meta-relational threat sensitivity introduced by Tepe and Aydinli-Karakulak (2019) (evaluating immoral behaviors at the society level) as an individual predisposition on this link. More specifically, individualsâ€™ high levels of parental motivation will be associated with moral wrongness judgments about a violation of social relationships between in-group members such as family or friends (unity violation, e.g., a mother who does not care about her child or an incest relationship between two siblings), through their high levels of community-based meta-relational threat sensitivity. Data (N = 127) were collected from university undergraduates in Turkey. Results showed that there are indirect effects of community-based meta-relational threat sensitivity on the link between parental motivation and moral wrongness judgments of unity violation despite their marginal significance. In addition to contributing meta-relational threat sensitivity as a measure of individual predisposition to the field of moral psychology, the current study not only suggests a mediative role of meta-relational threat sensitivity on the link between parental motivation and moral wrongness judgments but also emphasizes the role of parental motivation (even among nonparents) on the maintenance of the moral systems at the society level. This highlighted further a different perspective on the link between parenting and morality. In simpler terms, high levels of parental motivation are associated with high levels of community-based meta-relational threat sensitivity, which in turn leads to harsher moral wrongness judgments. Moreover, the current study focuses on relationship regulation theory, relational motivations, social conservatism, and life-history strategy to discuss the findings."</v>
          </cell>
          <cell r="E632" t="str">
            <v>PSYCHOLOGY, MULTIDISCIPLINARY</v>
          </cell>
          <cell r="F632" t="str">
            <v>Meta-relational threat,moral judgments,parental motivation,relationship regulation theory</v>
          </cell>
          <cell r="H632" t="str">
            <v>Q4</v>
          </cell>
        </row>
        <row r="633">
          <cell r="B633" t="str">
            <v>10.26650/eor.2021922696</v>
          </cell>
          <cell r="C633" t="str">
            <v>"Purpose: The purpose of the present study was to investigate the effect of the different irrigant combinations used in final irrigation on the push-out bond strength of root canal sealers that have different compositions. Materials and methods: In total 60 dentinal slices in 1 mm thickness were collected from 15 extracted mandibular premolar teeth; 4 slices from each tooth. 3 canal-like artificial cavities were opened on each dentinal slice. Samples were divided into 4 experimental groups, each of which consisted of 15 samples. In group 1, samples were immersed in 5.25% NaOCl and 17% EDTA solutions respectively; in group 2, immersed in 5.25% NaOCl and 2% CHX solutions respectively; in group 3, immersed in 5.25% NaOCl, 17% EDTA and 2% CHX solutions respectively; and in group 4 immersed in distilled water. After drying with absorbent papers, each cavity in dentinal slice sample was filled with different sealer (Endoseal MTA, Tech Biosealer Endo or AH Plus). Two days later, the push-out bond examination was performed. Results: AH Plus showed higher push-out bond strength value in two combinations (group 2 and 3) in which final irrigants contained CHX (p&lt;0.001). Dentinal push-out bond strengths of root canal sealers from Endoseal MTA and Tech BioSealer Endo were not affected by final irrigant (p=0.965). Conclusion: Using CHX after NaOCl in final irrigant increases push-out strength of epoxy resinbased sealer but, did not create any difference in dentinal push-out bond strength of calcium silicate-based sealers."</v>
          </cell>
          <cell r="E633" t="str">
            <v>DENTISTRY, ORAL SURGERY &amp; MEDICINE</v>
          </cell>
          <cell r="F633" t="str">
            <v>Calcium silicate-based sealer,chlorhexidine gluconate,precipitate,push-out bond strength,root canal irrigants</v>
          </cell>
          <cell r="H633" t="str">
            <v>Q3</v>
          </cell>
        </row>
        <row r="634">
          <cell r="B634" t="str">
            <v>10.26650/eor.2023978293</v>
          </cell>
          <cell r="C634" t="str">
            <v>"Purpose: The aim of this in-vitro study was to evaluate the effect of thermal changes to shear bond strength during the firing process of veneering porcelain on a zirconia framework. Materials and methods: Single yttria-stabilized tetragonal zirconia polycrystal (Y-TZP) framework ceramic (Kavo Dental GmbH) and three different types of veneering ceramics (IPS e.max Ceram, Vita VM9, and GC Initial Zr-FS) were used. One-hundred-twenty standard disc-shaped samples were prepared from zirconia blocks by using a CAD/CAM system (Kavo Everest). Four different cooling processes (maximum, 25Â°C/min, 50Â°C/min and 75Â°C/min) were applied to the veneering ceramics and the shear bond strength (SBS) test was performed. Ceramic surfaces were investigated by using scanning electron microscopeic (SEM). The possible occurrence of a tâ€“m transformation of zirconia was evaluated by X-Ray Diffraction (XRD). Two-way analysis of variance, Bonferroni correction and paired comparisons were used for statistical analysis. Results: The main effects of veneering ceramics on shear bond strength were found to be significant (p=0.042). The mean shear bond strength values differ according to the cooling process (p&lt;0.001). The monoclinic phase ratio increased in groups with fast cooling process. Conclusion: The thermal changes during the firing process of veneering porcelain on a zirconia framework influenced the shear bond strength of the all-ceramic bilayered system. A slow cooling process provided higher strength for bilayer ceramic samples."</v>
          </cell>
          <cell r="E634" t="str">
            <v>DENTISTRY, ORAL SURGERY &amp; MEDICINE</v>
          </cell>
          <cell r="F634" t="str">
            <v>Zirconia,Veneering ceramic,CAD,CAM,Bond strength,Cooling process</v>
          </cell>
          <cell r="H634" t="str">
            <v>Q3</v>
          </cell>
        </row>
        <row r="635">
          <cell r="B635" t="str">
            <v>10.26650/ppil.2023.43.1202464</v>
          </cell>
          <cell r="C635" t="str">
            <v>"Leaving compulsory arbitration aside, the essence of arbitration as a means of resolving a dispute involves the consent of both parties. Consequently, in order to be able to talk about a valid arbitration agreement, having reciprocal and informed consent of the parties for resolving a dispute by means of arbitration appears to be a necessary element. One important issue faced in contemporary arbitration, which is widely used as a means of dispute resolution, is that arbitral decisions can be annulled in light of jurisprudence and doctrinal opinions after a lengthy judicial process. Another issue that is relied upon as a reason for invaliding the consent to apply to arbitration arises out of asymmetrical arbitral clauses. When examining the judicial decisions on this subject, clauses in the arbitration agreements between the parties, especially cases where courts and arbitration are jointly authorized to resolve a dispute, as well as in asymmetric arbitration, are observed to be considered invalid. In order to reach this conclusion in the relevant jurisprudence, the justification is based on the argument that the consent of the parties is neither clear nor precise in both aforementioned cases. The result of this inference is either the annulment of the arbitral award or the rejection of the first objection to arbitration when the issue is initially brought before a judicial organ. Turkish legal doctrine can be observed to be divided between two approaches. While the first group, which constitutes the majority opinion, concurs that the agreements regulating the parallel competence of courts and arbitration are invalid in terms of arbitration, the second group of authors accepts that these arbitration agreements are to be considered valid. This paper will firstly examine the judgements of the Court of Cassation and the doctrinal opinions concerning the partiesâ€™ consent to submit to arbitration and asymmetrical arbitral clauses. Subsequently and in light of the examined jurisprudence and doctrinal opinions, the paper will attempt to respond to the appropriateness of the Reginol Court of Appeal judgement, which constitutes the subject matter of this work, and question itâ€™s conformity to the contemporary world."</v>
          </cell>
          <cell r="E635" t="str">
            <v>LAW</v>
          </cell>
          <cell r="F635" t="str">
            <v>Arbitration,Asymmetrical Arbitration,Parallel Jurisdiction Agreements,Consent to Arbitration,Interpretation of Will</v>
          </cell>
          <cell r="H635" t="str">
            <v>Q4</v>
          </cell>
        </row>
        <row r="636">
          <cell r="B636" t="str">
            <v>10.29135/std.1116354</v>
          </cell>
          <cell r="C636" t="str">
            <v>"XVII. yÃ¼zyÄ±lÄ±n OsmanlÄ± baÅŸmimarÄ± KasÄ±m AÄŸa, yapÄ± faaliyetlerinin yanÄ±nda, Ã¶zellikle siyasete olan ilgisi ve dÃ¶nemin sadrazam, padiÅŸah hocasÄ±, valide sultan gibi Ã¶nemli kiÅŸilikleriyle yakÄ±n iliÅŸkisi dolayÄ±sÄ±yla Ã¶ne Ã§Ä±kmaktadÄ±r. Devrin sadrazamlarÄ± tarafÄ±ndan vezirlik taslayan kiÅŸiler arasÄ±nda anÄ±lan ve siyasi etkinliÄŸi nedeniyle defalarca sÃ¼rgÃ¼n edilen, hapsedilen ve katledilmek dahi istenen Mimar KasÄ±m AÄŸa, baÅŸÄ±na gelen onca felakete raÄŸmen siyasetle ilgilenmekten vazgeÃ§memiÅŸtir. 1651 yÄ±lÄ±nda baÅŸmimarlÄ±ÄŸÄ± sona eren ve Hadice Turhan Sultanâ€™Ä±n kethÃ¼dasÄ± olan KasÄ±m AÄŸa, yakÄ±n dostu KÃ¶prÃ¼lÃ¼ Mehmed PaÅŸaâ€™nÄ±n 1656 yÄ±lÄ±nda sadarete getirilmesini saÄŸlayarak, bÃ¼yÃ¼k emeline ulaÅŸmÄ±ÅŸtÄ±r. Bu tarihten sonra adÄ±na pek rastlanmayan KasÄ±m AÄŸaâ€™nÄ±n, kadÄ± sicillerine dayanÄ±larak 1662 yÄ±lÄ±nda hayatta olmadÄ±ÄŸÄ± anlaÅŸÄ±lmaktadÄ±r. MimarlÄ±ÄŸÄ±ndan ziyade siyasi yaÅŸamdaki rolÃ¼ nedeniyle anÄ±lan Mimar KasÄ±m AÄŸaâ€™nÄ±n kendi adÄ±na baÅŸkent Ä°stanbulâ€™da ÅžehzadebaÅŸÄ± semtinde inÅŸa ettirdiÄŸi dÃ¢rÃ¼lhadisi, daha az bilinen bÃ¢ni kimliÄŸini yansÄ±tmasÄ± bakÄ±mÄ±ndan bÃ¼yÃ¼k Ã¶nem taÅŸÄ±maktadÄ±r. XVII. yÃ¼zyÄ±lÄ±n ilk yarÄ±sÄ±nda inÅŸa edilen, XX. yÃ¼zyÄ±l baÅŸlarÄ±na dek ayakta olduÄŸu tespit edilen Mimar KasÄ±m AÄŸa DÃ¢rÃ¼lhadisiâ€™nin konumu, kuruluÅŸu, derecesi, iÅŸletim koÅŸullarÄ±, geÃ§irdiÄŸi onarÄ±mlar ve mimarisi ayrÄ± baÅŸlÄ±klar altÄ±nda, OsmanlÄ± arÅŸiv belgeleri ve aÄŸÄ±rlÄ±kla El-Hac KasÄ±m AÄŸa ibn-i Ali adlÄ± vakfiyesine dayanÄ±larak irdelenmiÅŸtir. YapÄ± tÃ¼rÃ¼ seÃ§iminin ve dÃ¢rÃ¼lhadisin konumunun KasÄ±m AÄŸaâ€™nÄ±n siyasi yÃ¶nÃ¼yle iliÅŸkisi Ã¼zerinde durulmuÅŸ ve gÃ¼nÃ¼mÃ¼ze ulaÅŸamayan Mimar KasÄ±m AÄŸa DÃ¢rÃ¼lhadisiâ€™nin Ã§aÄŸÄ±n baÅŸkentteki OsmanlÄ± medreseleri arasÄ±ndaki yeri belirlenmeye Ã§alÄ±ÅŸÄ±lmÄ±ÅŸtÄ±r."</v>
          </cell>
          <cell r="E636" t="str">
            <v>ART</v>
          </cell>
          <cell r="F636" t="str">
            <v>Architect Kasim Agha Darulhadis,Architect Kasim Agha,Architect,Kasim Agha Waqf,Ottoman Architecture,Sehzadebasi</v>
          </cell>
          <cell r="H636" t="str">
            <v>Q1</v>
          </cell>
        </row>
        <row r="637">
          <cell r="B637" t="str">
            <v>10.29228/jrp.334</v>
          </cell>
          <cell r="C637" t="str">
            <v>": Despite growing research on the health benefits of probiotics in athlete populations, there has been little investigation into athletesâ€™ consumption of probiotics and fermented foods. Similarly, data is limited about athletesâ€™ fermented and probiotic foods consumption. This study aimed to examine the experiences with probiotics, and the frequency of consuming probiotics and fermented foods in a sample of elite Turkish athletes. The secondary aim was to provide data on the existing literature on the dietary intake of the athletes. A total of 30 elite volleyball athletes, 19 male, and 11 female, of a club competing in Turkeyâ€™s adult men's first league and Turkeyâ€™s adult women's second league in the pre-season period of 2016 were included in this pilot study. A questionnaire include general characteristics questions, experiences, and thoughts about probiotics, and a fermented food frequency questionnaire was applied face to face. Athletesâ€™ nutrient intakes were calculated by dietary records obtained on 3 consecutive days. The energy and macronutrient intakes were calculated via a software program. Athletesâ€™ anthropometric measures were determined. A total of 60% reported that they have never heard of the term â€œprobioticâ€ before. The main reason to use probiotics was â€œgood gastrointestinal healthâ€ and the main reason for initially trying probiotics is â€œpositive experiences with othersâ€. Athletes who had never taken probiotics would consider using probiotics in the future (73.9%) if they would know what probiotics were. Except for cheese types, fermented foods and beverages consumption was low. Athletes were willing to learn and use probiotics. Investigation of the use of probiotics and consumption of fermented foods will enlighten a better understanding of athletes' actual behavior, and may increase the possible health effects of probiotics."</v>
          </cell>
          <cell r="E637" t="str">
            <v>PHARMACOLOGY &amp; PHARMACY</v>
          </cell>
          <cell r="F637" t="str">
            <v>Athletes,sports nutrition,nutritional knowledge,probiotics,fermented foods</v>
          </cell>
          <cell r="H637" t="str">
            <v>Q4</v>
          </cell>
        </row>
        <row r="638">
          <cell r="B638" t="str">
            <v>10.29271/jcpsp.2022.01.61</v>
          </cell>
          <cell r="C638" t="str">
            <v>"OBJECTIVE\nTo determine efficacies of fiber-containing isocaloric and hypercaloric enteral supplements generally used to treat undernutrition.\n\n\nSTUDY DESIGN\nRetrospective cohort study.\n\n\nPLACE AND DURATION OF STUDY\nDepartment of Pediatrics, Sanliurfa Halfeti State Hospital, Turkey from September 2019 to June 2020.\n\n\nMETHODOLOGY\nPediatric patients aged 1-19 years were diagnosed solely with primary undernutrition, were given fiber containing isocaloric or hypercaloric enteral supplements for six months based on their energy requirements. A comparative analysis of anthropometrical data was made with each formula. The analysis included baseline weight, height, BMI of patients, and important micro-nutrient levels at three and six months after intervention.\n\n\nRESULTS\nBMI, weight and height z-scores (p &lt;0.001) were improved over six months. There were no differences in BMI and weight scores except for a significant improvement in height between baseline and third month, which was observed in patients who received hypercaloric formula unlike isocolaric formula. There was a two-tailed improvement in blood biochemistry values of both groups.\n\n\nCONCLUSION\nBoth isocaloric and hypercaloric supplementation had positive effects on anthropometry and blood biochemistry. These results show that both formulae are highly beneficial for children with primary undernutrition. Key Words: Pediatrics, Body mass index, Therapeutics, Gastroenterology, Undernutrition."</v>
          </cell>
          <cell r="E638" t="str">
            <v>MEDICINE, GENERAL &amp; INTERNAL</v>
          </cell>
          <cell r="F638" t="str">
            <v>Pediatrics,Body mass index,Therapeutics,Gastroenterology,Undernutrition</v>
          </cell>
          <cell r="H638" t="str">
            <v>Q4</v>
          </cell>
        </row>
        <row r="639">
          <cell r="B639" t="str">
            <v>10.29271/jcpsp.2022.09.1196</v>
          </cell>
          <cell r="C639" t="str">
            <v>"OBJECTIVE\nTo evaluate whether there are differences in invasive micropapillary carcinoma (IMPC) and invasive ductal carcinoma-NOS (IDC-NOS) according to the clinicopathological features and prognosis including molecular subtypes.\n\n\nSTUDY DESIGN\nDescriptive study.\n\n\nPLACE AND DURATION OF STUDY\nDepartment of Pathology, University of Health Sciences, Haydarpasa Numune Training and Research Hospital, Istanbul, Turkey, from 2003 to 2016.\n\n\nMETHODOLOGY\nOperated breast cancer cases (58 IMPC + 326 IDC-NOS), with long-term follow-up findings (cases followed up until 2020), were reviewed. The cases, whose other component was only IDC-NOS, were included in the mixed IMPC group. The clinical features, including clinical presentation, treatments, and follow-up information were obtained from the patient clinical database. The IMPC cases included in the study were re-examined, and micropapillary tumour components were confirmed based on the criteria set by the World Health Organisation (WHO). The clinicopathological findings, recurrence, and survival data of both groups were compared. In addition, IDC-NOS was divided into the molecular subgroups and compared with IMPC cases in terms of 5-year overall survival (OS).\n\n\nRESULTS\nThere was no significant difference between the two groups for the distribution of molecular subtypes. There was a statistically significant difference among the nuclear grade, tumour size, nodal status, lymphovascular, and perineural invasion. In the first 5-year period, the OS rate for IDC-NOS and IMPC was 90.8% and 86.2% (p&lt;0.05). The 5-year OS rate of luminal A, luminal B, HER2, triple negative (TN), and IMPC patients was 97.6%, 91.3%, 90%, 70%, and 86.2%, respectively (p&lt;0.05). The OS rate in patients with TN and IMPC was similar which was found significantly lower than the other groups (luminal A, luminal B, and HER2). The median OS was 51.3 months and 53.9 months for the patients with TN and IMPC, respectively (p&lt;0.001). This difference disappeared in the 10th and 15th years of follow-up.\n\n\nCONCLUSION\nThe majority of the deaths in IMPC occurred within the first 5 years. The 5-year OS rates were similar in the TN and IMPC patients. The survival pattern of IMPC is parallel with TN, Therefore, clinical, therapeutic, and prognostic evaluation in IMPC can be done like TN.\n\n\nKEY WORDS\nInvasive ductal carcinoma, Invasive micropapillary carcinoma, Survival."</v>
          </cell>
          <cell r="E639" t="str">
            <v>MEDICINE, GENERAL &amp; INTERNAL</v>
          </cell>
          <cell r="F639" t="str">
            <v>Invasive ductal carcinoma,Invasive micropapillary carcinoma,Survival</v>
          </cell>
          <cell r="H639" t="str">
            <v>Q4</v>
          </cell>
        </row>
        <row r="640">
          <cell r="B640" t="str">
            <v>10.30519/ahtr.882183</v>
          </cell>
          <cell r="C640" t="str">
            <v>"Participation in travel is continuously increasing throughout the world. Seeking novelty, particularly novel cuisine, is one of the motivating factors underlying travel. Image is one of the most important factors that affect intention to visit a country and experience the cuisine. This study examines the mediating effects of Turkish cuisine image on the relationship between novelty seeking and intention to visit. In this regard, Turkish cuisine image and its effect on individuals from the United Kingdom (U.K.) who had eaten at Turkish restaurants was analyzed. Individuals at Turkish restaurants were asked to fill out self-administered questionnaires with 78 questions. An online platform of people was also utilized. It was seen that cuisine image has a significant mediating role on the intention to visit Turkey."</v>
          </cell>
          <cell r="E640" t="str">
            <v>HOSPITALITY, LEISURE, SPORT &amp; TOURISM</v>
          </cell>
          <cell r="F640" t="str">
            <v>gastronomy tourism,novelty seeking,intention to visit,Turkish cuisine image</v>
          </cell>
          <cell r="H640" t="str">
            <v>Q3</v>
          </cell>
        </row>
        <row r="641">
          <cell r="B641" t="str">
            <v>10.30621/jbachs.1140895</v>
          </cell>
          <cell r="C641" t="str">
            <v>"Aim: The low-density lipoprotein receptor gene (LDLR) family plays a fundamental role in many malignancies and may have a putative cancer-boosting function. In our study, we have attempted to comparatively investigate the differential gene expressions of LDLR family in normal prostate epithelial cell line (RWPE-1), prostate cancer cell line (DU145 cell line), prostate cancer stem cells (DU145 CSCs) and non-CSCs (DU145 non-CSCs, bulk population). \r\nMaterials and Methods: Cancer stem cells in DU-145 prostate cancer cell line were isolated by flow cytometry according to CD133 and CD44 cell surface properties. Whole transcriptome sequencing data was comprehensively analyzed for each group. The protein-protein interaction network was determined using the STRING protein database.\r\nResults: Our data showed that the expression levels of LRP1, LRP3, LRP8 and LRP11 were increased in the DU145 CSCs relative to the normal prostate epithelial cell line. \r\nConclusion: Overall, our data suggest that the LRP functions and/or the expression in prostate cancer may ultimately change the invasive phenotype of the CSCs."</v>
          </cell>
          <cell r="E641" t="str">
            <v>HEALTH CARE SCIENCES &amp; SERVICES</v>
          </cell>
          <cell r="F641" t="str">
            <v>LDLR gen family,cancer stem cell,prostate cancer,transcriptional regulators</v>
          </cell>
          <cell r="H641" t="str">
            <v>Q4</v>
          </cell>
        </row>
        <row r="642">
          <cell r="B642" t="str">
            <v>10.30621/jbachs.853783</v>
          </cell>
          <cell r="C642" t="str">
            <v>"We present a case with accessory pre-segmental arteries and micro-kidneys. There are no articles on the effects of the accessory pre-segmental renal artery on the size of the kidney. Therefore this study aimed to investigate whether a relationship exists between the accessory arteries and kidney size. Left pre-segmental artery variations and bilateral microkidneys were detected in a 62-year-old female cadaver during routine retroperitoneal dissection. The right micro kidney was 7.74 cm in length, 3.82 cm in width and 3.87 cm in thickness, and the left micro kidney was 6.82 cm in length, 3.42 cm in width and 3.02 cm in thickness. The superior left pre-segmental artery L1 at the origin site of the left renal artery and just below the superior mesenteric artery was 8.98 cm in length, 0.54 cm in width and 0.42 cm in thickness, and the inferior left pre-segmental artery L1-L2 at the origin site of the left renal artery was 8.92 cm in length, 0.54 cm in width and 0.41 cm in thickness. The presence of the accessory pre-segmental artery might provide clues regarding the presence of an abnormality of the kidney. Therefore, surgeons should know pre-segmental artery variations and associated kidney size abnormalities."</v>
          </cell>
          <cell r="E642" t="str">
            <v>HEALTH CARE SCIENCES &amp; SERVICES</v>
          </cell>
          <cell r="F642" t="str">
            <v>Renal artery,pre-segmental artery,variation,micro-kidney,kidney</v>
          </cell>
          <cell r="H642" t="str">
            <v>Q4</v>
          </cell>
        </row>
        <row r="643">
          <cell r="B643" t="str">
            <v>10.30621/jbachs.931146</v>
          </cell>
          <cell r="C643" t="str">
            <v>"The testicular vein exhibits variations in number, course, and insertion. Such differences may enhance the risk of varicocele and complication in patients by impairing testicular drainage. The following is a case report of the abnormal drainage of the right testicular vein (RTV) draining into the right renal vein (RRV). The incidence, course, insertion, and termination angle of the testicular veins were measured with a 150 mm digital Vernier dial microcaliper, and photographs were taken by Canon EOS 70D using a 100mm macro lens. In one out of seven cadavers (14.28%), the right testicular vein (RTV) drained into the right renal vein (RRV) (Type III) rather than into the inferior vena cava (IVC) at a 90Â° angle 0.4 cm from the IVC. The double (medial and lateral) left testicular veins (LTV) drained into the left renal vein (LRV) at a 62Â° angle 5 cm from the IVC. The understanding of type III RTV drainage or course can provide crucial data for surgeons in order to prevent complications during right-sided varicocele surgery."</v>
          </cell>
          <cell r="E643" t="str">
            <v>HEALTH CARE SCIENCES &amp; SERVICES</v>
          </cell>
          <cell r="F643" t="str">
            <v>Testicular vein,variation,varicocele,venous drainage,venous variation</v>
          </cell>
          <cell r="H643" t="str">
            <v>Q4</v>
          </cell>
        </row>
        <row r="644">
          <cell r="B644" t="str">
            <v>10.30621/jbachs.942061</v>
          </cell>
          <cell r="C644" t="str">
            <v>"Purpose: The purpose of this study was to evaluate the legal measures taken by Turkish dentists in endodontic treatments. Methods: The web-based questionnaire form consisted of eleven questions was send to the members of the Turkish Dental Association by email from February to March 2021 and 382 dentists filled the form. The participants were asked about their properties such as gender, years of experience, specialty, and their methods of clinic applications in endodontic procedures such as rubber-dam application, methods of informing the patients, storing/sharing the diagnostic documents, and allowing patients to have a companion. Results: All the participants informed their patients about the endodontic treatment but only the half of participants received written informed consent. When compared with other dental services, endodontics ranked 3rd according to the probability of having legal problems with the patient. Four-fifths of the participants reported using rubber dam in endodontic treatments. Almost one out of ten people did not archive the treatment documents. Conclusions: The results of this study should alert Turkish dentists to take special care to avoid facing claims and lawsuits about their legal liability."</v>
          </cell>
          <cell r="E644" t="str">
            <v>HEALTH CARE SCIENCES &amp; SERVICES</v>
          </cell>
          <cell r="F644" t="str">
            <v>Dentist,endodontic treatment,legal measures,patient rights</v>
          </cell>
          <cell r="H644" t="str">
            <v>Q4</v>
          </cell>
        </row>
        <row r="645">
          <cell r="B645" t="str">
            <v>10.30935/ojcmt/13414</v>
          </cell>
          <cell r="C645" t="str">
            <v>"As the global influence of artificial intelligence (AI) in our daily lives and the looming advent of artificial general intelligence (AGI) become increasingly apparent, the need for a sophisticated interpretive framework intensifies. This paper introduces â€˜AIsmosisâ€™â€“a term that captures AIâ€™s gradual, nuanced integration into society, and akin to the biological process of osmosis. AIâ€™s integration dynamics are examined through the lens of three pivotal theories: social construction of technology, technological determinism, and diffusion of innovations. These theories collectively elucidate the sociocultural influences on AI, the potential repercussions of unchecked technological growth, and the factors driving the adoption of novel technologies. Building upon these explorations, the â€˜controlled AIsmosisâ€™ conceptual framework emerges, emphasizing ethically conscious development, active stakeholder communication, and democratic dialogue in the context of AI technology adoption. Rooted in communicative action theory, this framework illuminates AIâ€™s transformative impact on society. It calls for a comprehensive evaluation of systems that steer AI diffusion and their potential impacts, acknowledging the pervasive influence of AI and transcending traditional disciplinary boundaries. This work underscores the need for a multidisciplinary and interdisciplinary approach in investigating the complex AI-society interplay and understanding the ethical and societal consequences of AIsmosis."</v>
          </cell>
          <cell r="E645" t="str">
            <v>COMMUNICATION</v>
          </cell>
          <cell r="F645" t="str">
            <v>AIsmosis,controlled AIsmosis,artificial intelligence,social construction of technology,technological determinism,diffusion of innovations,communicative action</v>
          </cell>
          <cell r="H645" t="str">
            <v>Q3</v>
          </cell>
        </row>
        <row r="646">
          <cell r="B646" t="str">
            <v>10.30950/jcer.v18i2.1272</v>
          </cell>
          <cell r="C646" t="str">
            <v>"As relations between the European Union (EU) and Turkey have progressed, so has the body of literature on the relationship â€“ to the extent that we can now identify â€˜EUâ€“Turkey studiesâ€™ as a boutique sub-discipline of EU studies. This article provides a systematic mapping of the evolution of EUâ€“Turkey studies from 1996 to 2020 in order to explore the degree of epistemic diversity featured in the discipline as an indicator of epistemic (in)justice. Utilising the research synthesis technique, we analyse a novel dataset involving 300 articles published in 26 SSCI journals to scrutinise the extent of epistemic diversity in the discipline. Our mapping reveals two central features of EUâ€“Turkey studies. First, the transformation of the discipline has largely been contingent on critical milestones in EUâ€“Turkey relations. Lately, increasing conflictual dynamics in bilateral relations resulted in diminishing scholarly commitment to studying EUâ€“Turkey relations. Second, epistemic diversity has remained fairly limited given the lack of geographic diversity in authorship, the accumulation of the publications in specific journals, and the segregated co-authorship clusters that limit the amalgamation of different ideas and values. At the same time, knowledge production in EUâ€“Turkey studies has been mainly Eurocentric, due to the almost exclusive use of grand and up-and-coming theories/concepts of European integration, while the proliferation of issue areas since the launch of the discipline has not culminated in a strong focus on non-traditional, avant-garde research topics as such. To ensure epistemic justice in the discipline, EUâ€“Turkey studies should place stronger emphasis on unconventional issue areas and on the explanatory power of mainstream and unorthodox (IR) theories that have the potential to explore the relationship within the context of the multilateral system in which EUâ€“Turkey relations increasingly operate."</v>
          </cell>
          <cell r="E646" t="str">
            <v>AREA STUDIES</v>
          </cell>
          <cell r="F646" t="str">
            <v>Epistemic justice,EU-Turkey relations,Epistemic diversity,Centre-periphery,Research synthesis,EU studies</v>
          </cell>
          <cell r="H646" t="str">
            <v>Q2</v>
          </cell>
        </row>
        <row r="647">
          <cell r="B647" t="str">
            <v>10.31083/j.ceog4805176</v>
          </cell>
          <cell r="C647" t="str">
            <v>"Background: This study was planned to measure bone morphogenetic protein 2 (BMP-2) levels in the endometrial samples of unexplained infertility (UEI) cases who had a history of unsuccessful in vitro fertilization - embryo transfer (IVF-ET) and therefore decided to have frozen-thawed embryo transfer (FET). Methods: Thirty patients diagnosed with UEI and decided to transfer frozen-thawed embryo transfer were included in the study. The UEI patients were selected among the patients whose previous IVF-ET trials were unsuccessful and were scheduled for FET this time. Thirty participants in the control group were selected among patients diagnosed with polycystic ovary syndrome (PCOS) and scheduled for FET. Serum total testosterone, fasting insulin, follicle-stimulating hormone and luteinizing hormone levels were measured. Homeostatic model assessment - insulin resistance (HOMA-IR) Formula was used for calculating insulin resistance. Endometrial samples were collected by pipelle during oocyte pick-up, washed three times with a sterile saline solution to remove blood and transferred into RNA stabilization buffer until analysis. Endometrial BMP-2 concentrations were measured by enzyme-linked immunosorbent assay. Results: Serum total testosterone, insulin levels and HOMA-IR of patients in the control group were significantly higher than the UEI group. BMP-2 levels in the endometrial supernatants of UEI patients were found to be about 2 times lower than the patients in the control group (984.5 (350) pg/mg wet tissue vs. 1720 (318) pg/mg wet tissue, p &lt; 0.000, Z = â€“6.6). A strong and significant positive correlation was found between endometrial thickness, estradiol levels measured on HCG day and BMP-2 levels. A positive and significant correlation was found between endometrial BMP-2 levels and serum luteinizing hormone (LH), fasting insulin, glucose, testosterone, HOMA-IR and mature oocyte counts. Conclusion: BMP-2 is associated with UEI and mechanistically it may be useful to study this further to determine is this is causal or merely a biomarker."</v>
          </cell>
          <cell r="E647" t="str">
            <v>OBSTETRICS &amp; GYNECOLOGY</v>
          </cell>
          <cell r="F647" t="str">
            <v>Unexplained infertility,Endometrium,BMP-2,Subfertility</v>
          </cell>
          <cell r="H647" t="str">
            <v>Q4</v>
          </cell>
        </row>
        <row r="648">
          <cell r="B648" t="str">
            <v>10.31083/jomh.2021.041</v>
          </cell>
          <cell r="C648" t="str">
            <v>"Introduction: The eï¬ƒcacy and tolerability of Enzalutamide and Abiraterone Acetate have been reported in elderly patients with metastatic castration resistant prostate cancer (mCRPC). However, there is no randomized study directly comparing antitumor effects between these 2 agents in geriatric patients. We aimed to evaluate the eï¬ƒcacy of Enzalutamide (ENZA) and Abiraterone Acetate (AA) as a ï¬rst-line treatment of mCRPC in elderly patients.\n\nMaterials and methods: The geriatric patients (â‰¥75 years of age) with a diagnosis of mCRPC and treated with ï¬rst-line ENZA or AA were included. The impacts of clinical parameters and treatment modalities on overall survival (mOS) were analyzed retrospectively and Cox regression analysis was performed.\n\nResults: One hundred thirty-four mCRPC patients (77 in AA, 57 in ENZA), with a median age of 81 (75â€“93) were analyzed. The patient and disease characteristics were similar between arms. While there were more grade 1â€“2 toxicities in AA arm (45.5% vs 17.5%, P = 0.001), the discontinuation due to toxicity was similar between groups (8.5% vs 5.9%, P = 0.81). The mOS was 18.0 months (95% CI, 15.2â€“20.7) in AA, and 20.0 months (95% CI, 4.4â€“35.5) in ENZA arm (P = 0.47). In multivariate analysis, high Gleason score (â‰¥8) (HR: 2.0 (95% CI, 1.1â€“3.4), P = 0.009) and high initial PSA values (â‰¥100 ng/mL) (HR: 2.6 (95% CI, 1.5â€“4.8), P = 0.001) were poor prognostic factors. The choice of AA vs ENZA was insigniï¬cant as a predictor of OS (HR: 0.87 (95%CI, 0.48â€“1.56), P = 0.65).\n\nConclusion: In the ï¬rst-line treatment of mCRPC in elderly (â‰¥75) patients, AA and ENZA showed similar results in terms of mPFS and mOS. The clinical impacts of second-generation androgen receptor pathway inhibitors in the elderly population should be tested in prospective randomized studies."</v>
          </cell>
          <cell r="E648" t="str">
            <v>PUBLIC, ENVIRONMENTAL &amp; OCCUPATIONAL HEALTH|PUBLIC, ENVIRONMENTAL &amp; OCCUPATIONAL HEALTH</v>
          </cell>
          <cell r="F648" t="str">
            <v>Metastatic castration-resistant prostate cancer,Enzalutamide,Abiraterone Acetate,Elderly</v>
          </cell>
          <cell r="H648" t="str">
            <v>Q4</v>
          </cell>
        </row>
        <row r="649">
          <cell r="B649" t="str">
            <v>10.31086/tjgeri.2021.240</v>
          </cell>
          <cell r="C649" t="str">
            <v>"Introduction: Given the recent constraints imposed due to the ongoing COVID-19 pandemic and the importance of the daily light-dark cycle for entraining the human circadian system, it is possible to state that the elderly are likely to be at serious risk of experiencing sleep-related problems. Whilst reduced or limited time outdoors, and thus, exposure to diurnal bright light appear to be detrimental to sleep and emotional well-being in old age, further research is required to confirm this relationship. Materials and Method: To build on earlier work, a two-week study was conducted in a sample of 79 community-dwelling older adults recruited by using snowball sampling method. Throughout the study, the participants were allowed to be outdoors from 10.00 a.m. to 1.00 p.m. on weekdays. Whilst the participants were performing their daily habitual activities, they were asked to keep an activity diary and report on their sleep quality and emotional wellbeing using two questionnaires. Results: The results demonstrated that participantsâ€™ daily time spent outdoors (49.13 minutes on average) positively correlated with their perceived sleep quality and emotional well-being at various â€“â€“ but significant â€“â€“ levels (p&lt;0.05). Moreover, significant negative correlations were identified between participantsâ€™ sleep quality and experienced emotional disturbances (p&lt;0.001). Conclusion: Based on the research findings, it is reasonable to conclude that spending momentary periods outdoors may have adverse consequences for the elderly. To maintain a healthy sleep-wake cycle and alleviate related emotional problems in old age, increasing outdoor time and diurnal bright light exposure should be encouraged."</v>
          </cell>
          <cell r="E649" t="str">
            <v>GERIATRICS &amp; GERONTOLOGY|GERONTOLOGY</v>
          </cell>
          <cell r="F649" t="str">
            <v>Aged,COVID-19,Emotions,Photoperiod,Sleep,Social Isolation</v>
          </cell>
          <cell r="H649" t="str">
            <v>Q4</v>
          </cell>
        </row>
        <row r="650">
          <cell r="B650" t="str">
            <v>10.31489/2022M3/25-34</v>
          </cell>
          <cell r="C650" t="str">
            <v>"Time-dependent and space-dependent source identification problems for partial differential and difference equations take an important place in applied sciences and engineering, and have been studied by several authors. Moreover, the delay appears in complicated systems with logical and computing devices, where certain time for information processing is needed. In the present paper, the time-dependent identification problem for delay hyperbolic equation is investigated. The theorems on the stability estimates for the solution of the time-dependent identification problem for the one dimensional delay hyperbolic differential equation are established. The proofs of these theorems are based on the Dalambertâ€™s formula for the hyperbolic differential equation and integral inequality."</v>
          </cell>
          <cell r="E650" t="str">
            <v>MATHEMATICS</v>
          </cell>
          <cell r="F650" t="str">
            <v>hyperbolic equation,time delay,Hilbert space,source identification,stability</v>
          </cell>
          <cell r="H650" t="str">
            <v>Q2</v>
          </cell>
        </row>
        <row r="651">
          <cell r="B651" t="str">
            <v>10.31489/2023M1/38-47</v>
          </cell>
          <cell r="C651" t="str">
            <v>"In the present paper, the initial value problem for the hyperbolic type involutory in t second order linear partial differential equation is studied. The initial value problem for the fourth order partial differential equations equivalent to this problem is obtained. The stability estimates for the solution and its first and second order derivatives of this problem are established."</v>
          </cell>
          <cell r="E651" t="str">
            <v>MATHEMATICS</v>
          </cell>
          <cell r="F651" t="str">
            <v>involutory type hyperbolic equation,stability,Banach space</v>
          </cell>
          <cell r="H651" t="str">
            <v>Q2</v>
          </cell>
        </row>
        <row r="652">
          <cell r="B652" t="str">
            <v>10.31489/2023M1/4</v>
          </cell>
          <cell r="C652" t="str">
            <v>"This issue is a collection of 13 selected papers. These papers are presented at the Sixth International Conference on Analysis and Applied Mathematics (ICAAM 2022) organized by Bahcesehir University, Turkey, Institute of Mathematics and Mathematical Modelling, Kazakhstan, and Analysis &amp; PDE Center, Ghent University, Belgium. The meeting was held on October 31 â€“ November 6, 2022, in Antalya, Turkey. The conference is organized biannually. Previous conferences were held in Gumushane, Turkey in 2012; in Shymkent, Kazakhstan in 2014; in Almaty, Kazakhstan in 2016; in Cyprus, Turkey in 2018 and 2020; in Antalya, Turkey in 2022. The proceedings of ICAAM 2012, ICAAM 2014, ICAAM 2016, ICAAM 2018, and ICAAM 2020 were published in AIP Conference Proceedings (American Institute of Physics) and in some rating scientific journals. Proceedings of ICAAM 2022 will be published in the world-renowned AIP Conference Proceeding Series. The main aim of the International Conferences on Analysis and Applied Mathematics (ICAAM) is to bring mathematicians working in the area of analysis and applied mathematics together to share new trends of applications of mathematics. In mathematics, the developments in the field of applied mathematics open new research areas in analysis and vice versa. That is why, we planned to found the conference series to provide a forum for researches and scientists to communicate their recent developments and to present their original results in various fields of analysis and applied mathematics. This issue presents papers by authors from different countries: Azerbaijan, Iraq, Russian Federation, Cyprus, Turkey, Kazakhstan, Turkmenistan, Uzbekistan, Kyrgyzstan. Especially we are pleased with the fact that many articles are written by co-authors who work in different countries. We are confident that such international integration provides an opportunity for a significant increase in the quality and quantity of scientific publications. Special thanks to Charyyar Ashyralyyev (Turkey) for their valuable assistance. Finally, but not least, we would like to thank the Editorial board of the Â«Bulletin of the Karaganda University. Mathematics seriesÂ», who kindly provided an opportunity for the formation of this special issue."</v>
          </cell>
          <cell r="E652" t="str">
            <v>MATHEMATICS</v>
          </cell>
          <cell r="F652" t="str">
            <v>control,partial differential equations,hyperbolic-parabolic equations,integro-differential equations,boundary value problem,Dirichelt problem,well-posedness,regular solutions,numerical methods and solutions,difference scheme,involution,stability</v>
          </cell>
          <cell r="H652" t="str">
            <v>Q2</v>
          </cell>
        </row>
        <row r="653">
          <cell r="B653" t="str">
            <v>10.31489/2023M1/48-57</v>
          </cell>
          <cell r="C653" t="str">
            <v>"In this work, we study two boundary value problems for involutary parabolic equation with the first and second kind conditions. We propose absolute stable difference schemes for numerical solutions of these boundary value problems. Actually the stability estimates for solutions of difference schemes are proved. Later error analysis for the numerical solution of both difference schemes are illustrated by test examples."</v>
          </cell>
          <cell r="E653" t="str">
            <v>MATHEMATICS</v>
          </cell>
          <cell r="F653" t="str">
            <v>involution,parabolic,finite difference scheme,stability estimate,boundary value problem</v>
          </cell>
          <cell r="H653" t="str">
            <v>Q2</v>
          </cell>
        </row>
        <row r="654">
          <cell r="B654" t="str">
            <v>10.31577/archandurb.2022.56.1-2.8</v>
          </cell>
          <cell r="C654" t="str">
            <v>"A&amp;U 1 â€“ 2 / 2022 Tento prÃ­spevok sa pokÃºÅ¡a odhaliÅ¥ a analyzovaÅ¥ dynamiku transformÃ¡cie rezidenÄnÃ½ch oblastÃ­ v okolÃ­ kontroverznÃ©ho megaprojektu KanÃ¡l Istanbul v Istanbule. PlÃ¡novanÃ¡ mestskÃ¡ zÃ¡stavba pozdÄºÅ¾ perspektÃ­vneho pobreÅ¾ia KanÃ¡lu Istanbul je z veÄ¾kej Äasti obytnÃ¡ a mnohÃ© z projektov sÃº rozsiahle, â€žznaÄkovÃ©â€œ projekty. TÃºto oblasÅ¥ s voÄ¾nÃ½m nÃ¡zvom â€žNovÃ½ Istanbulâ€œ vlÃ¡da intenzÃ­vne propagovala v obdobÃ­ pred parlamentnÃ½mi voÄ¾bami v roku 2011. Bola sÃºÄasÅ¥ou triÃ¡dy megaprojektov, ktorÃº vlÃ¡da vyuÅ¾ila na zÃ­skanie voliÄskej zÃ¡kladne (iÅ¡lo o novÃ© istanbulskÃ© letisko, tretÃ­ most cez Bospor a KanÃ¡l Istanbul). PosolstvÃ¡ obsiahnutÃ© v propagaÄnÃ½ch kampaniach, ktorÃ© sa zameriavali na KanÃ¡l Istanbul a jeho okolie, mali mnoho vrstiev a od volieb sa zmenili. Vo vÅ¡eobecnosti sa vÅ¡ak zameriavajÃº na ambÃ­cie Turecka staÅ¥ sa do roku 2023 (stÃ© vÃ½roÄie vzniku republiky) regionÃ¡lnou veÄ¾mocou, na snahu priblÃ­Å¾iÅ¥ krajinu k jej osmanskej minulosti, na propagÃ¡ciu rodinnÃ½ch hodnÃ´t, ako aj konzervatÃ­vnejÅ¡ieho svetonÃ¡zoru. Tieto posolstvÃ¡ sÃº v sÃºlade aj s niekoÄ¾kÃ½mi zÃ¡kladnÃ½mi princÃ­pmi Strany spravodlivosti a rozvoja (AKP), medzi ktorÃ© patrÃ­ zavedenie jedineÄnej verzie neoliberalizmu â€“ zmesi islamizmu, neoliberÃ¡lnej politiky a sociÃ¡lne-populistickÃ©ho postoja. Strane AKP to veÄ¾mi dobre poslÃºÅ¾ilo a pomohlo jej to zabezpeÄiÅ¥ a udrÅ¾aÅ¥ si dominantnÃ© postavenie pri volebnÃ½ch urnÃ¡ch. Pomohlo jej to aj pri realizÃ¡cii svojej politiky rozvoja miest, napriek tomu, Å¾e mÃ¡ potenciÃ¡lne negatÃ­vne dÃ´sledky pre niektorÃ© skupiny mestskÃ©ho obyvateÄ¾stva a najmÃ¤ pre prÃ­rodnÃ© prostredie. Branding â€˜New Istanbulâ€™sâ€™ Residential Real Estate: A Thematic Analysis of Residential Real Estate Ads for â€˜Canal Istanbulâ€™ and Environs Branding rezidenÄnÃ½ch nehnuteÄ¾nostÃ­ â€žNovÃ©ho Istanbuluâ€œ: tematickÃ¡ analÃ½za reklÃ¡m na rezidenÄnÃ© nehnuteÄ¾nosti â€žKanÃ¡lu Istanbulâ€œ a okolia"</v>
          </cell>
          <cell r="E654" t="str">
            <v>ARCHITECTURE</v>
          </cell>
          <cell r="H654" t="str">
            <v>Q1</v>
          </cell>
        </row>
        <row r="655">
          <cell r="B655" t="str">
            <v>10.3233/JIFS-182519</v>
          </cell>
          <cell r="C655" t="str">
            <v>"This study presents a possible relationship between two main objects, which are three-dimensional copulas (3D-Cs) and geometric picture fuzzy numbers (GPFNs). This opens up a potential field for future studies for these two objects that three-dimensional copulas can become useful tools for handling uncertainty information in the form of a picture fuzzy set (PFS). Specifically, we define a GPFN as a base element of the PFS and a defined domain of three-dimensional copulas that contains a set of GPFNs, then we show some examples of three-dimensional copulas identified on this domain. In this framework, we present the theorems related to these two objects. At the same time, we provide some examples for three-dimensional semi-copulas, three-dimensional quasi-copulas, and three-dimensional empirical copulas defined on D, which is a defined domain of a three-dimensional copula and contains a set of GPFNs D g * . In addition, we also introduce a new approach to non-linear programming problems."</v>
          </cell>
          <cell r="E655" t="str">
            <v>COMPUTER SCIENCE, ARTIFICIAL INTELLIGENCE</v>
          </cell>
          <cell r="F655" t="str">
            <v>Three-dimensional distribution functions,three-dimensional copulas (3D-Cs),geometric picture fuzzy numbers (GPFNs),additional set of geometric picture fuzzy numbers (Ad-GPFNs),non-linear programming approach</v>
          </cell>
          <cell r="H655" t="str">
            <v>Q4</v>
          </cell>
        </row>
        <row r="656">
          <cell r="B656" t="str">
            <v>10.3233/JIFS-201125</v>
          </cell>
          <cell r="C656" t="str">
            <v>"This paper is concerned with aspects of the analytical fuzzy solutions of the parabolic Volterra partial integro-differential equations under generalized Hukuhara partial differentiability and it consists of two parts. The first part of this paper deals with aspects of background knowledge in fuzzy mathematics, with emphasis on the generalized Hukuhara partial differentiability. The existence and uniqueness of the solutions of the fuzzy Volterra partial integro-differential equations by considering the type of [gHÂ -Â p]-differentiability of solutions are proved in this part. The second part is concerned with the central themes of this paper, using the fuzzy Laplace transform method for solving the fuzzy parabolic Volterra partial integro-differential equations with emphasis on the type of [gHÂ -Â p]-differentiability of solution. We test the effectiveness of method by solving some fuzzy Volterra partial integro-differential equations of parabolic type."</v>
          </cell>
          <cell r="E656" t="str">
            <v>COMPUTER SCIENCE, ARTIFICIAL INTELLIGENCE</v>
          </cell>
          <cell r="F656" t="str">
            <v>Fuzzy laplace transform,generalized hukuhara partial differentiable,fuzzy parabolic volterra partial integro-differential equation,fuzzy triangular functions</v>
          </cell>
          <cell r="H656" t="str">
            <v>Q4</v>
          </cell>
        </row>
        <row r="657">
          <cell r="B657" t="str">
            <v>10.3233/JIFS-201619</v>
          </cell>
          <cell r="C657" t="str">
            <v>"Differential equations occur in many fields of science, engineering and social science as it is a natural way of modeling uncertain dynamical systems. A bipolar fuzzy set model is useful mathematical tool for addressing uncertainty which is an extension of fuzzy set model. In this paper, we study differential equations in bipolar fuzzy environment. We introduce the concept gH-derivative of bipolar fuzzy valued function. We present some properties of gH-differentiability of bipolar fuzzy valued function by considering different types of differentiability. We consider bipolar fuzzy Taylor expansion. By using Taylor expansion, Euler method is presented for solving bipolar fuzzy initial value problems. We discuss convergence analysis of proposed method. We describe some numerical examples to see the convergence and stability of the method and compute global truncation error. From numerical results, we see that for small step size Euler method converges to exact solution."</v>
          </cell>
          <cell r="E657" t="str">
            <v>COMPUTER SCIENCE, ARTIFICIAL INTELLIGENCE</v>
          </cell>
          <cell r="F657" t="str">
            <v>Generalized Hukuhara derivative,Bipolar Fuzzy Taylor expansion,bipolar fuzzy initial value problem,Euler method method,convergence analysis</v>
          </cell>
          <cell r="H657" t="str">
            <v>Q4</v>
          </cell>
        </row>
        <row r="658">
          <cell r="B658" t="str">
            <v>10.3233/JIFS-201757</v>
          </cell>
          <cell r="C658" t="str">
            <v>"As the Covid-19 pandemic also proved, access to health care plays a crucial role in our lives. Public officials, managers and investors should consider many criteria such as public infrastructure, environment, accessibility and demand for selecting the most appropriate site for a new hospital. Thus, the hospital site selection problem is a critical multi-criteria decision-making (MCDM) problem. This paper is a case study for Ä°stanbul where a recent MCDM methodology, the fuzzy Evaluation based on Distance from Average Solution (EDAS) method, is applied to this problem for the first time. We used a comprehensive set of five main criteria and 17 sub-criteria found in the relevant literature regarding hospital site selection. These criteria were evaluated by three decision-makers to choose the hospital site from three districts. The recommendation of the fuzzy EDAS method was then compared to the outcome of a frequently used fuzzy MCDM method. The methods resulted in different site recommendations."</v>
          </cell>
          <cell r="E658" t="str">
            <v>COMPUTER SCIENCE, ARTIFICIAL INTELLIGENCE</v>
          </cell>
          <cell r="F658" t="str">
            <v>Hospital site selection,health care planning,multi-criteria decision making,fuzzy EDAS,fuzzy TOPSIS</v>
          </cell>
          <cell r="H658" t="str">
            <v>Q4</v>
          </cell>
        </row>
        <row r="659">
          <cell r="B659" t="str">
            <v>10.3233/JIFS-202523</v>
          </cell>
          <cell r="C659" t="str">
            <v>"According to a huge interest in implementation of the fuzzy Volterra integral equations, especially the second kind, researchers have been investigating to solve such equations using numerical methods since analytical ones might not be accessible usually. In this research paper, we introduce a new approach based on Fibonacci polynomials collocation method to numerically solve them. Several properties of such polynomials were considered to implement in the collocation method due to approximate the solution of the second kind of fuzzy Volterra integral equations. We approved the existence, uniqueness of the solution, convergence and the error analysis of the proposed method in detail. In order to show the authenticity and applicability of the proposed method, we employed several illustrative examples. The numerical results show that the convergence and precision of the recent method were in a good settlement with the exact solution. Also, the calculations of the suggested method are simple and low computational complexity in respect to other methods as an advantage feature of the presented approach."</v>
          </cell>
          <cell r="E659" t="str">
            <v>COMPUTER SCIENCE, ARTIFICIAL INTELLIGENCE</v>
          </cell>
          <cell r="F659" t="str">
            <v>Fuzzy Volterra integral equation,Fibonacci polynomial,collocation method</v>
          </cell>
          <cell r="H659" t="str">
            <v>Q4</v>
          </cell>
        </row>
        <row r="660">
          <cell r="B660" t="str">
            <v>10.3233/JIFS-210655</v>
          </cell>
          <cell r="C660" t="str">
            <v>"A Pythagorean fuzzy set is a powerful model for depicting fuzziness and uncertainty. This model is more flexible and practical as compared to an intuitionistic fuzzy model. This research article presents a new model called LR-type fully Pythagorean fuzzy linear programming problem. We consider the notions of LR-type Pythagorean fuzzy number, ranking for LR-type Pythagorean fuzzy numbers and arithmetic operations for unrestricted LR-type Pythagorean fuzzy numbers. We propose a method to solve LR-type fully Pythagorean fuzzy linear programming problems with equality constraints. We describe our proposed method with numerical examples including diet problem."</v>
          </cell>
          <cell r="E660" t="str">
            <v>COMPUTER SCIENCE, ARTIFICIAL INTELLIGENCE</v>
          </cell>
          <cell r="F660" t="str">
            <v>Pythagorean fuzzy linear programming problem,ranking function,LR-type Pythagorean fuzzy numbers</v>
          </cell>
          <cell r="H660" t="str">
            <v>Q4</v>
          </cell>
        </row>
        <row r="661">
          <cell r="B661" t="str">
            <v>10.3233/JIFS-212716</v>
          </cell>
          <cell r="C661" t="str">
            <v>"This paper proposes adaptive fuzzy lead-lag controller structures for power system stabilizer and flexible AC transmission system based damping controllers to increase the stability of power system. The parameters of the proposed controller are tuned by a modified grasshopper optimization algorithm (MGOA). The new algorithm named MGOA accomplishes a proper balance between exploration and exploitation phases of original grasshopper optimization algorithm. This capability of MGOA is certified by using the benchmark functions by comparing with that of a grasshopper optimization algorithm, genetic algorithm, evolutionary strategies, particle swarm optimization, bat algorithm, population based incremental learning, flower pollination algorithm, monarch butterfly optimization and improved monarch butterfly optimization. The proposed controller is optimized and verified under various loading circumstances using MGOA method. The results of MGOA are compared with grasshopper optimization algorithm, genetic algorithm, and particle swarm optimization. Additionally, the results of the proposed MGOA are compared with conventional lead-lag controller to demonstrate its superiority."</v>
          </cell>
          <cell r="E661" t="str">
            <v>COMPUTER SCIENCE, ARTIFICIAL INTELLIGENCE</v>
          </cell>
          <cell r="F661" t="str">
            <v>Modified grasshopper optimization algorithm,static synchronous series compensator,adaptive fuzzy lead-lag controller,power system stability</v>
          </cell>
          <cell r="H661" t="str">
            <v>Q4</v>
          </cell>
        </row>
        <row r="662">
          <cell r="B662" t="str">
            <v>10.3233/JIFS-219178</v>
          </cell>
          <cell r="C662" t="str">
            <v>"In line with the increase in consciousness on sustainability in todayâ€™s global world, great emphasis has been attached to food waste management. Food waste is a complex issue to manage due to uncertainties on quality, quantity, location, and time of wastes, and it involves different decisions at many stages from seed to post-consumption. These ambiguities re-quire that some decisions should be handled in a linguistic and ambiguous environment. That forces researchers to benefit from fuzzy sets mostly utilized to deal with subjectivity that causes uncertainty. In this study, as a novel approach, the spherical fuzzy analytic hierarchy process (SFAHP) was used to select the best food treatment option. In the model, four main criteria (infrastructural, governmental, economic, and environmental) and their thirteen sub-criteria are considered. A real case is conducted to show how the proposed model can be used to assess four food waste treatment options (composting, anaerobic digestion, landfilling, and incineration). Also, a sensitivity analysis is generated to check whether the evaluations on the main criteria can change the results or not. The proposed model aims to create a subsidiary tool for decision makers in relevant companies and institutions."</v>
          </cell>
          <cell r="E662" t="str">
            <v>COMPUTER SCIENCE, ARTIFICIAL INTELLIGENCE</v>
          </cell>
          <cell r="F662" t="str">
            <v>Food waste,fuzzy sets,multi criteria decision making,spherical fuzzy sets,spherical fuzzy analytic hierarchy process</v>
          </cell>
          <cell r="H662" t="str">
            <v>Q4</v>
          </cell>
        </row>
        <row r="663">
          <cell r="B663" t="str">
            <v>10.3233/JIFS-219214</v>
          </cell>
          <cell r="C663" t="str">
            <v>"In todayâ€™s highly competitive business market, the issue of sustainable supplier selection attracts great attention due to increased awareness of both social and environmental issues. The power of companies in the supply chain is determined not only by their own performance, but also by the power of other actors in the chain. As a field of study, the selection of sustainable suppliers remains its popularity because it requires developing a systematic procedure that addresses conflicting quantifiable and non-quantifiable factors simultaneously. In this study, one of the advanced fuzzy approaches called Spherical Fuzzy Sets (SFS) has been used to prioritize criteria that affect sustainable supplier selection. The proposed methodology combines the Spherical Fuzzy Sets and the analytic hierarchy process (AHP) and takes into account four main criteria: economic, quality, social and environmental criteria. In order to prioritize the main and sub criteria, questionnaires were conducted with three experts who have valuable experience in this field of study. After then, for the selection of the best sustainable supplier, a real selection problem in an international company was handled. The figured out ranking of the criteria and supplier alternatives can be used as a guide by the researchers and industrial experts who are responsible for sustainable supplier selection. To measure how much unit increase in weights assigned to key criteria affects supplier selection, a sensitivity analysis was carried out. It was noticed that the selection procedure for the selected company is not highly sensitive to changes."</v>
          </cell>
          <cell r="E663" t="str">
            <v>COMPUTER SCIENCE, ARTIFICIAL INTELLIGENCE</v>
          </cell>
          <cell r="F663" t="str">
            <v>Analytic hierarchy process (AHP),spherical fuzzy sets,sustainable supplier selection</v>
          </cell>
          <cell r="H663" t="str">
            <v>Q4</v>
          </cell>
        </row>
        <row r="664">
          <cell r="B664" t="str">
            <v>10.3233/JIFS-221959</v>
          </cell>
          <cell r="C664" t="str">
            <v>"Â Transportation Problems (TP) have multiple applications in supply chain management to reduce costs. Efficient methods have been developed to address TP when all factors, including supply, demand, and unit transportation costs, are precisely known. However, due to uncertainty in practical applications, it is necessary to study TP in an uncertain environment. In this paper, we define the Trapezoidal Fermatean Fuzzy Number (TrFFN) and its arithmetic operations. Then we introduce a new approach to solve TP, where transportation cost, supply, and demand are treated as TrFFN, and we call it Fermatean Fuzzy TP (FFTP). We illustrate the feasibility and superiority of this method with two application examples, and compare the performance of this method with existing methods. Furthermore, the advantages of the proposed method over existing methods are described to address TP in uncertain environments."</v>
          </cell>
          <cell r="E664" t="str">
            <v>COMPUTER SCIENCE, ARTIFICIAL INTELLIGENCE</v>
          </cell>
          <cell r="F664" t="str">
            <v>Trapezoidal Fermatean fuzzy sets,linear programming problem,transportation problem,supply and demand</v>
          </cell>
          <cell r="H664" t="str">
            <v>Q4</v>
          </cell>
        </row>
        <row r="665">
          <cell r="B665" t="str">
            <v>10.32450/aacd.978784</v>
          </cell>
          <cell r="C665" t="str">
            <v>"Europe Abstract Brexit is one of the main challenges that is faced by the EU after the economic and the migration crises and one of the main turning points in the history of European integration. In this article rising populism and radical right are taken into consideration and Brexit is analysed as a reflection of these tendencies. Firstly, the role of Euroscepticism in the UK, especially the role of UK Independence Party (UKIP) in the Brexit process is analysed. Secondly the role of rising populism and radical right in the discourse and policies during the referendum campaign process and their influence in the results of the referendum are"</v>
          </cell>
          <cell r="E665" t="str">
            <v>AREA STUDIES</v>
          </cell>
          <cell r="F665" t="str">
            <v>Brexit,European Union,United Kingdom Independence Party (UKIP),Populism,Radical Right</v>
          </cell>
          <cell r="H665" t="str">
            <v>Q4</v>
          </cell>
        </row>
        <row r="666">
          <cell r="B666" t="str">
            <v>10.32615/ps.2022.047</v>
          </cell>
          <cell r="C666" t="str">
            <v>"The changes in photosynthetic activity, as well as the activity of nitrogen-metabolism enzymes, the intensity of lipid peroxidation, and proline content were studied in Triticum aestivum L. plants after their incubation at a low CO2 concentration in a sealed chamber for 10 d. CO2 deficiency (-CO2) compared to normal CO2 concentration (control) led to a decrease in the rate of O2 gas exchange at the plateau of the light curve and quantum yield of photosynthesis. The maximum and effective quantum photochemical yields also decreased. CO2 deficiency reduced the activity of nitrate reductase, but increased the activities of nitrite reductase, glutamine synthetase, and glutamate dehydrogenase, and promoted proline accumulation. It is assumed that with a lack of CO2, an excess of nitrogen-containing compounds occurs, which must be removed from metabolic processes. Also, we suggest the partial storage of nitrogen in the form of nitrogen-containing compounds such as proline."</v>
          </cell>
          <cell r="E666" t="str">
            <v>PLANT SCIENCES</v>
          </cell>
          <cell r="F666" t="str">
            <v>chlorophyll fluorescence,growth,low CO2,nitrogen cycle,photosynthetic activity</v>
          </cell>
          <cell r="H666" t="str">
            <v>Q2</v>
          </cell>
        </row>
        <row r="667">
          <cell r="B667" t="str">
            <v>10.32615/ps.2023.009</v>
          </cell>
          <cell r="C667" t="str">
            <v>"The light spectral composition acting through a set of photoreceptors, such as cryptochromes and phytochromes, plays an important role in maintaining sustainable photosynthesis. An impact of cryptochrome 1 deficiency and additions of green light (GL) against the background of red (RL) and blue (BL) (different ratios of RL:BL:GL) on the activity of the photosynthetic apparatus, the content of photosynthetic pigments, pro-/antioxidant balance, and expression of some genes in the leaves of 23-d-old Arabidopsis thaliana hy4 mutant plants was studied. The deficiency of cryptochrome 1 at RL/BL ratio of 4:1 led to a decrease in the rate of photosynthesis, photosystem II activity, and activity of ascorbate peroxidase and total peroxidase but to an increase in the content of products reacting with thiobarbituric acid. However, in the presence of additional GL, this difference for photosynthetic parameters either decreased or was absent, likely due to a GL-induced decrease in the content of active cryptochrome."</v>
          </cell>
          <cell r="E667" t="str">
            <v>PLANT SCIENCES</v>
          </cell>
          <cell r="F667" t="str">
            <v>cryptochrome mutant,photosynthesis,photosystem II</v>
          </cell>
          <cell r="H667" t="str">
            <v>Q2</v>
          </cell>
        </row>
        <row r="668">
          <cell r="B668" t="str">
            <v>10.32710/tekstilvekonfeksiyon.849002</v>
          </cell>
          <cell r="C668" t="str">
            <v>"The purpose of this paper is to provide an applied and objective analysis into heat transfer and mass transfer parameters such as relative water vapour permeability, thermal conductivity and thermal absorptivity as well as liquid accumulation of baby diapers which have critical importance on skin health using non-destructive Alambeta and Permetest instruments. SEM investigation was also carried out for characterization of breathable film layer of the diaper assembly. According to the water vapour transmission assessment, it was found that a few hours later, the composite diaper assembly becomes almost zero vapour permeable which results in discomfort and a poor breathability in baby diaper. It was also found that the liquid accumulation in diaper has increased in the course of time. The thickness of the diapers had an important effect on thermal parameters however production type of nonwoven top sheet and back sheet layers had a dramatic effect on these parameters."</v>
          </cell>
          <cell r="E668" t="str">
            <v>MATERIALS SCIENCE, TEXTILES</v>
          </cell>
          <cell r="F668" t="str">
            <v>Baby diapers,Thermophysiological comfort,Mass transfer,Heat transfer,Warm-cool feeling,Nonwovens</v>
          </cell>
          <cell r="H668" t="str">
            <v>Q4</v>
          </cell>
        </row>
        <row r="669">
          <cell r="B669" t="str">
            <v>10.3325/cmj.2023.64.391</v>
          </cell>
          <cell r="C669" t="str">
            <v>"Methods Thirty-five rats were randomly divided into five groups: sham, IR, IR + 100 mg kgâˆ’1 PBA, IR + 200 mg kgâˆ’1 PBA, and IR + placebo. After sacrifice, we assessed serum biochemical variables, myeloperoxidase (MPO), malondialdehyde (MDA), total antioxidant status (TAS), and total oxidant status (TOS). The expression levels of Abcc (2 and 5), Abcg2, Abcf2, Ire1-Î±, and Perk genes were measured with a quantitative real-time polymerase chain reaction. Results Serum biochemical variables, MPO, MDA, TAS, and TOS levels of the PBA groups (especially in the low dose group) were lower than in the IR and placebo group (Pâ€‰&lt;â€‰0.05). Histological tissue damage in the IR group was more severe than in the PBA groups. Ire1-Î± and Perk expression levels were significantly lower in the PBA groups than the IR group (Pâ€‰&lt;â€‰0.001). Abcc (2 and 5) and Abcg2 expression levels were significantly lower in the IR group than in the sham and PBA groups (Pâ€‰&lt;â€‰0.001, Pâ€‰&lt;â€‰0.035, and Pâ€‰&lt;â€‰0.009, respectively). Conclusions The use of PBA significantly positively affected IR injury, which makes PBA a candidate treatment to reduce liver IR."</v>
          </cell>
          <cell r="E669" t="str">
            <v>MEDICINE, GENERAL &amp; INTERNAL</v>
          </cell>
          <cell r="H669" t="str">
            <v>Q3</v>
          </cell>
        </row>
        <row r="670">
          <cell r="B670" t="str">
            <v>10.3329/bjms.v21i1.56329</v>
          </cell>
          <cell r="C670" t="str">
            <v>"Aim: Can NICU admission of IDM be predicted by anthropometric measurements like birth weight, lenght, head circumference (HC), mid upper arm circumference (MUAC) or triceps skin fold thickness (TSFT).\nMethod: Eighty-six-term IDMs were analyzed prospectively. MUAC, HC and TSFT were measured within 48 hours of life. Prenatal-natal-postnatal problems; NICU admission; maternal characteristics, HbA1c were recorded.\nResults: Mean birth weight, gestational age were 3453.3Â±582.4g and 38.0Â±0.97weeks. 63.9% of IDMs was admitted to NICU. 56.3% hospitalized due respiratory problems; 32,7 % required endotracheal intubation. Mean MUAC, TSFT, HC and MUAC/HC ratio were 11.2Â±1.1 cm, 7.1Â±2.2 mm, 35.0Â±1.8 cm and 0.32Â±0.03 cm respectively for all. Although there was no significant relation between NICU admission and MUAC (p=0.071), TSFT and MUAC/HC were significantly higher in babies admitted to NICU (p=0.006 for TSFT, p&lt;0.001 for MUAC/HC). HC was significantly low in babies followed in NICU (P&lt;0.001). With increment of TSFT, MUAC/HC and HbA1c, NICU admission increases positively, but HC affects NICU admission negatively (OR for TSFT:1.6, OR for MUAC/HC: 2.1, OR for HbA1c: OR for HC:0,3). Mechanic ventilation requirement is affected positively by TSFT (p=0.008, OR:1.5) and affected negatively by HC (p=0.004, OR:0.6).\nConclusion: This preliminary study showed; TSFT, HC and MUAC/HC ratio are helpful criterias to predict NICU admission risk for IDMs and might be helpful for risk assesment in limited settings.\nBangladesh Journal of Medical Science Vol. 21(1) 2022 Page : 72-78"</v>
          </cell>
          <cell r="E670" t="str">
            <v>MEDICINE, GENERAL &amp; INTERNAL</v>
          </cell>
          <cell r="F670" t="str">
            <v>Infants of diabetic mother,mid upper ann circumference,triceps skin fold thickness,head circumference,NICU,respiratory distress</v>
          </cell>
          <cell r="H670" t="str">
            <v>Q3</v>
          </cell>
        </row>
        <row r="671">
          <cell r="B671" t="str">
            <v>10.33458/uidergisi.1233974</v>
          </cell>
          <cell r="C671" t="str">
            <v>"This paper argues that the Mediterranean imaginations of France and Turkey have served as a barometer for analyzing the level of their bilateral relations. Turkey and France have been among the regionâ€™s prominent rivals since the Middle Ages, and their level of relationship has varied over time. This article investigates key patterns that shape the direction of Turkish-French relations and presents a fundamental factor: The spatial representation of the Mediterranean. If the Mediterranean images developed by the two countries are adverse/unfavorable/conflictual, the relationship in a given era deteriorates and vice versa. This study aims to situate the contemporary Turkish and French representations of the Mediterranean through a Critical Geopolitics, and Artificial Intelligence based Content Analysis method. This paper first deals with the theoretical and methodological aspects by focusing on Critical Geopolitics and â€œword embeddingâ€ as a promising technique in content analysis. Second, the historical dynamics between France and Turkey will be discussed by examining the shift in the two countriesâ€™ representations of the Mediterranean. Finally, this study will shed light on how the Mediterranean representations of Turkey and France in the recent period affect contemporary bilateral relations in line with the empirical findings obtained from Agence France-Presse and Anadolu Agency"</v>
          </cell>
          <cell r="E671" t="str">
            <v>INTERNATIONAL RELATIONS</v>
          </cell>
          <cell r="F671" t="str">
            <v>Uluslararas? ?li?kiler,International Relations,Spatial Representation,Critical Geopolitics,Computational Social Science,Word2Vec</v>
          </cell>
          <cell r="H671" t="str">
            <v>Q4</v>
          </cell>
        </row>
        <row r="672">
          <cell r="B672" t="str">
            <v>10.33458/uidergisi.1233978</v>
          </cell>
          <cell r="C672" t="str">
            <v>"This paper focuses on the geographical, historical, and cultural spatializations of Turkish national identity by political elites in the post-2000 era. Considering the close link between the formation of national identity and the spatial constructions of homeland, the paper shows that Turkish national identity since the foundation of the Republic has been constructed through different supranational visions, navigating through different civilizational ingredients. We show that the Kemalistsâ€™ Western-oriented or Eurocentric geopolitical discourses, which perceive Turkey as a â€œbridge countryâ€, have been transformed in the postCold War era into a more ambitious geopolitical discourse of a â€œcentral countryâ€, which aims to broaden Turkeyâ€™s â€œidentity spaceâ€ through its Ottoman heritage. In line with this transformation, in the 2000s, the Turkish homeland was imagined as the â€œcradle of civilizationsâ€, but the national identity did not develop as a counter-hegemonic measure against the West (Europe). The post-2010 era â€“ with a pronounced emphasis on Islamic culture and Ottoman geopolitical space â€“ constitutes a departure from the previous yearsâ€™ spatial and identity constructions of Turkey, in the sense that the political elitesâ€™ perception of national identity has never gone beyond the national frontiers to this extent, and the West (Europe) has never been so trivialized in terms of progress and civilization."</v>
          </cell>
          <cell r="E672" t="str">
            <v>INTERNATIONAL RELATIONS</v>
          </cell>
          <cell r="F672" t="str">
            <v>Space,Turkish Homeland,Anatolia,Supranationalism,Blue Anatolianism</v>
          </cell>
          <cell r="H672" t="str">
            <v>Q4</v>
          </cell>
        </row>
        <row r="673">
          <cell r="B673" t="str">
            <v>10.3349/ymj.2022.0287</v>
          </cell>
          <cell r="C673" t="str">
            <v>"Purpose Diabetes and dyslipidemia are leading causes of mortality and morbidity. According to international guidelines, statins are the cornerstone of treatment in patients with diabetes and/or dyslipidemia. However, statins and antidiabetic agents have opposite pharmacological effects, because statins, particularly atorvastatin and rosuvastatin, impair glucose homeostasis, increasing the risk of new-onset diabetes, whereas antidiabetic drugs improve glycemic homeostasis. The aim of this study was to investigate the effect of atorvastatin, rosuvastatin, and pitavastatin on glucose homeostasis in patients with type 2 diabetes mellitus (T2DM) and dyslipidemia during stable treatment with hypoglycemic drugs. Materials and Methods The study was conducted as a pilot, prospective, randomized, open label, parallel group with blinded-endpoints (PROBE) study. Of 180 recruited patients with T2DM and dyslipidemia, 131 were randomized to atorvastatin (n=44), rosuvastatin (n=45), and pitavastatin (n=42) and treated for 6 months. Results Fasting plasma glucose (FPG) marginally decreased in patients assigned to atorvastatin (-3.5 mg/dL, p=0.42) and rosuvastatin (-6.5 mg/dL, p=0.17), while it decreased much more in patients treated with pitavastatin (-19.0 mg/dL, p&lt;0.001). Mean glycated hemoglobin A1c (HbA1c ) values remained unchanged during treatment with atorvastatin (-0.10%, p=0.53) and rosuvastatin (0.20%, p=0.40), but were significantly reduced with pitavastatin (-0.75%, p=0.01). Atorvastatin, rosuvastatin, and pitavastatin significantly lowered (p&lt;0.001) plasma levels of total cholesterol, low-density lipoprotein-cholesterol, and triglycerides, while high-density lipoprotein-cholesterol (HDL-C) levels increased significantly (p=0.04) only in the pitavastatin group. Conclusion The results of the present study suggest that pitavastatin affects FPG and HbA1c less than atorvastatin and rosuvastatin in patients with T2DM and concomitant dyslipidemia. Lipid-lowering efficacies were not significantly different among the three statins, with the exception of HDL-C, which increased significantly with pitavastatin. Although the pharmacological mechanism of pitavastatin on glucose homeostasis in patients with T2DM during stable antidiabetic therapy is not known, it can be assumed that pitavastatin has less drug interaction with hypoglycemic agents or that it increases plasma levels of adiponectin."</v>
          </cell>
          <cell r="E673" t="str">
            <v>MEDICINE, GENERAL &amp; INTERNAL</v>
          </cell>
          <cell r="F673" t="str">
            <v>Type 2 diabetes,fasting plasma glucose,glycated hemoglobin A1c,atorvastatin,rosuvastatin,pitavastatin</v>
          </cell>
          <cell r="H673" t="str">
            <v>Q1</v>
          </cell>
        </row>
        <row r="674">
          <cell r="B674" t="str">
            <v>10.33808/clinexphealthsci.1019617</v>
          </cell>
          <cell r="C674" t="str">
            <v>"Objective: The aim of this study was to conduct a systematic review to find interventions in primary health care that would increase osteoporosis prevention behaviors. \r\nMethods: Systematic searches of CINAHL, Eric, Medline complete, PsycInfo, Ovid, Web of Science, Cochrane Library (N=1270). A total of 17 published articles met our inclusion criteria. English-language articles published between January 2000-May 2019, in primary care settings, participants with healthy or risk of osteoporosis, investigated osteoporosis preventing behaviors. The data extracted included population characteristics, diagnosis, mean age and setting, intervention and control groups, and outcomes of significance to the review question and specific objectives. In this review, a meta-analysis could not be performed due to the heterogeneity of the data. \r\nResults: The majority of studies have been found to use multiple strategies to prevent osteoporosis. Eight studies focused only on the female gender and seven studies focused only on older adults. Compared to the control groups, it was found that the participantsâ€™ osteoporosis knowledge increased significantly (p"</v>
          </cell>
          <cell r="E674" t="str">
            <v>MEDICINE, RESEARCH &amp; EXPERIMENTAL</v>
          </cell>
          <cell r="F674" t="str">
            <v>Intervention,osteoporosis,prevention,systematic review,primary care</v>
          </cell>
          <cell r="H674" t="str">
            <v>Q4</v>
          </cell>
        </row>
        <row r="675">
          <cell r="B675" t="str">
            <v>10.33808/clinexphealthsci.1066512</v>
          </cell>
          <cell r="C675" t="str">
            <v>"Objective: This study was carried out to evaluate the relationship between the nutritional status, anthropometric measurements and dietary inflammatory index (DII) of professional football players exposed to long-term intense exercise.\r\nMethod: Twenty-one professional male football players with a mean age of 26.00Â±5.69 years playing in the same club participated in the study. The nutritional status of the football players was evaluated with 3-day food consumption record (2 days of training and 1 match day). DII scores were calculated using data on 34 nutrient/nutritional ingredients obtained from the food consumption records. Body fat percentage in the anthropometric evaluations were determined by caliper and skinfold thicknesses.\r\nResults: The median DII scores of the football players were found as â€“ 3.42 (-9.95 â€“ 0.95), and their nutritional intake were found to be antiinflammatory. When the relationship between the DII scores of the football players and their anthropometric measurements was examined, a positive and significant correlation (R: .476; p: .029) was found between their DII score and their abdominal adiposity. However, there was no significant correlation (p&gt; .05) between the DII scores and the other anthropometric measurements. In addition, there was a significant negative correlation (R: â€“ .468; p: .032) between fiber consumption and abdominal adiposity, and a significant positive correlation between carbohydrate and fat consumption and body weight (respectively R= .730 p= .000; R= .526 p= .014).\r\nConclusion: It has been revealed that the football players participating in our study generally have an anti-inflammatory diet. It was also found that abdominal adiposity was higher in the football players with high DII scores."</v>
          </cell>
          <cell r="E675" t="str">
            <v>MEDICINE, RESEARCH &amp; EXPERIMENTAL</v>
          </cell>
          <cell r="F675" t="str">
            <v>Football player,dietary inflammatory index,anthropometry</v>
          </cell>
          <cell r="H675" t="str">
            <v>Q4</v>
          </cell>
        </row>
        <row r="676">
          <cell r="B676" t="str">
            <v>10.33808/clinexphealthsci.1186086</v>
          </cell>
          <cell r="C676" t="str">
            <v>"Objective: This study was conducted to investigate the effect of the Fowler position and prone position on oxygen saturation in patients receiving treatment in clinics with the diagnosis of COVID-19 disease.\r\nMethod: A total of 40 patients, admitted to the pandemic ward who met the inclusion criteria, were included in the quasi-experimental type study without any sampling. The patients were first given the Fowler position and then the prone position. There was a time interval of 15 minutes wait between the two positions. For each position, peripheral oxygen saturation, heart rate, respiratory and blood pressure values were obtained at initial position placement, after the 30th minute and every hour for the first four hours.\r\nResults: The mean age of the participants was 57.57Â±12.64 years. Respiratory distress, cough, fever, weakness, sweating and headache were the main symptoms. A total of 22.5% of them had a diagnosis of hypertension and Diabetes Mellitus. The requirement for the positioning was found to be 95% in the first five days after admittance. After treatment, 85% of them were discharged home. The mean oxygen saturation values of the patients for every hour in the Prone position were 93.15Â±1.718 (p=0.035), 93.60Â±1.809 (p=0.019), 93.93Â±1.774 (p=0.006) and 94.15Â±1.718 (p=0.002), respectively in the first four hours. These findings were statistically significant compared to the Fowler position. Respiratory values\r\nin the prone position were 17.30Â±1.159 (p=0.005), 17.20Â±1.344 (p=0.010), 17.20Â±1.181 (p=0.005), and 17.05Â±1.280 (p=0.001), respectively in the first four hours, which were statistically lower than in the Fowler position. There was no significant difference in the mean heart rate and blood pressure in both positions (p&gt;0.05).\r\nConclusion: The prone position was found to have a positive effect on oxygen saturation levels when Fowler and Prone positions were applied in patients receiving treatment with the diagnosis of COVID-19 in hospital wards. Therefore, it is recommended that patients admitted with the diagnosis of COVID-19 be placed in the prone position at regular intervals."</v>
          </cell>
          <cell r="E676" t="str">
            <v>MEDICINE, RESEARCH &amp; EXPERIMENTAL</v>
          </cell>
          <cell r="F676" t="str">
            <v>COVID-19,Prone position,Fowler position,Oxygen Saturation</v>
          </cell>
          <cell r="H676" t="str">
            <v>Q4</v>
          </cell>
        </row>
        <row r="677">
          <cell r="B677" t="str">
            <v>10.3389/fcvm.2023.1218158</v>
          </cell>
          <cell r="C677" t="str">
            <v>"Patent ductus arteriosus (PDA) is a common congenital heart disease affecting roughly one in every 2,000 term births. Although most of the patients are diagnosed and treated during childhood, few cases may persist into adulthood. We presented a 27-year-old male patient with a 20.2â€…mm diameter PDA who was referred to our hospital with progressive fatigue and exertional dyspnea. Given the potential complications, usual techniques such as coil occlusion and duct occluders were deemed inappropriate for this patient. Thoracic endovascular aortic repair (TEVAR) using a non-touch exclusion technique was successfully performed for this patient. The patient was discharged with no major post-surgical complications. TEVAR could be a new, safe, and effective alternative treatment to other transcatheter procedures for complicated PDAs in some patients."</v>
          </cell>
          <cell r="E677" t="str">
            <v>CARDIAC &amp; CARDIOVASCULAR SYSTEMS</v>
          </cell>
          <cell r="F677" t="str">
            <v>thoracic endovascular aortic repair,patent ductus arteriosus,elderly PDA,non-touch exclusion technique,custom-made device</v>
          </cell>
          <cell r="H677" t="str">
            <v>Q2</v>
          </cell>
        </row>
        <row r="678">
          <cell r="B678" t="str">
            <v>10.3389/fnhum.2021.687476</v>
          </cell>
          <cell r="C678" t="str">
            <v>"Dyscalculia is a learning disability affecting the acquisition of arithmetical skills in children with normal intelligence and age-appropriate education. Two hypotheses attempt to explain the main cause of dyscalculia. The first hypothesis suggests that a problem with the core mechanisms of perceiving (non-symbolic) quantities is the cause of dyscalculia (core deficit hypothesis), while the alternative hypothesis suggests that dyscalculics have problems only with the processing of numerical symbols (access deficit hypothesis). In the present study, the symbolic and non-symbolic numerosity processing of typically developing children and children with dyscalculia were examined with functional magnetic resonance imaging (fMRI). Control (n = 15, mean age: 11.26) and dyscalculia (n = 12, mean age: 11.25) groups were determined using a wide-scale screening process. Participants performed a quantity comparison paradigm in the fMRI with two number conditions (dot and symbol comparison) and two difficulty levels (0.5 and 0.7 ratio). The results showed that the bilateral intraparietal sulcus (IPS), left dorsolateral prefrontal cortex (DLPFC) and left fusiform gyrus (so-called â€œnumber form areaâ€) were activated for number perception as well as bilateral occipital and supplementary motor areas. The task difficulty engaged bilateral insular cortex, anterior cingulate cortex, IPS, and DLPFC activation. The dyscalculia group showed more activation in the left orbitofrontal cortex, left medial prefrontal cortex, and right anterior cingulate cortex than the control group. The dyscalculia group showed left hippocampus activation specifically for the symbolic condition. Increased left hippocampal and left-lateralized frontal network activation suggest increased executive and memory-based compensation mechanisms during symbolic processing for dyscalculics. Overall, our findings support the access deficit hypothesis as a neural basis for dyscalculia."</v>
          </cell>
          <cell r="E678" t="str">
            <v>NEUROSCIENCES|PSYCHOLOGY</v>
          </cell>
          <cell r="F678" t="str">
            <v>dyscalculia,functional magnetic resonance imaging,hippocampus,learning disabilities,number sense</v>
          </cell>
          <cell r="H678" t="str">
            <v>Q2</v>
          </cell>
        </row>
        <row r="679">
          <cell r="B679" t="str">
            <v>10.3389/fnhum.2023.1147352</v>
          </cell>
          <cell r="C679" t="str">
            <v>"Developmental dyscalculia is a neurodevelopmental disorder specific to arithmetic learning even with normal intelligence and age-appropriate education. Difficulties often persist from childhood through adulthood lowering the individualâ€™s quality of life. However, the neural correlates of developmental dyscalculia are poorly understood. This study aimed to identify brain structural connectivity alterations in developmental dyscalculia. All participants were recruited from a large scale, non-referred population sample in a longitudinal design. We studied 10 children with developmental dyscalculia (11.3â€‰Â±â€‰0.7â€‰years) and 16 typically developing peers (11.2â€‰Â±â€‰0.6â€‰years) using diffusion-weighted magnetic resonance imaging. We assessed white matter microstructure with tract-based spatial statistics in regions-of-interest tracts that had previously been related to math ability in children. Then we used global probabilistic tractography for the first time to measure and compare tract length between developmental dyscalculia and typically developing groups. The high angular resolution diffusion-weighted magnetic resonance imaging and crossing-fiber probabilistic tractography allowed us to evaluate the length of the pathways compared to previous studies. The major findings of our study were reduced white matter coherence and shorter tract length of the left superior longitudinal/arcuate fasciculus and left anterior thalamic radiation in the developmental dyscalculia group. Furthermore, the lower white matter coherence and shorter pathways tended to be associated with the lower math performance. These results from the regional analyses indicate that learning, memory and language-related pathways in the left hemisphere might be related to developmental dyscalculia in children."</v>
          </cell>
          <cell r="E679" t="str">
            <v>NEUROSCIENCES|PSYCHOLOGY</v>
          </cell>
          <cell r="F679" t="str">
            <v>anterior thalamic radiation,diffusion-weighted magnetic resonance imaging,mathematical learning disability,probabilistic tractography,superior longitudinal fasciculus,arithmetic and numerical abilities,childhood white matter,tract length</v>
          </cell>
          <cell r="H679" t="str">
            <v>Q2</v>
          </cell>
        </row>
        <row r="680">
          <cell r="B680" t="str">
            <v>10.3389/fphar.2020.608068</v>
          </cell>
          <cell r="C680" t="str">
            <v>"Despite the significant health impacts of adverse events associated with drug-drug interactions, no standard models exist for managing and sharing evidence describing potential interactions between medications. Minimal information models have been used in other communities to establish community consensus around simple models capable of communicating useful information. This paper reports on a new minimal information model for describing potential drug-drug interactions. A task force of the Semantic Web in Health Care and Life Sciences Community Group of the World-Wide Web consortium engaged informaticians and drug-drug interaction experts in in-depth examination of recent literature and specific potential interactions. A consensus set of information items was identified, along with example descriptions of selected potential drug-drug interactions (PDDIs). User profiles and use cases were developed to demonstrate the applicability of the model. Ten core information items were identified: drugs involved, clinical consequences, seriousness, operational classification statement, recommended action, mechanism of interaction, contextual information/modifying factors, evidence about a suspected drug-drug interaction, frequency of exposure, and frequency of harm to exposed persons. Eight best practice recommendations suggest how PDDI knowledge artifact creators can best use the 10 information items when synthesizing drug interaction evidence into artifacts intended to aid clinicians. This model has been included in a proposed implementation guide developed by the HL7 Clinical Decision Support Workgroup and in PDDIs published in the CDS Connect repository. The complete description of the model can be found at https://w3id.org/hclscg/pddi."</v>
          </cell>
          <cell r="E680" t="str">
            <v>PHARMACOLOGY &amp; PHARMACY</v>
          </cell>
          <cell r="F680" t="str">
            <v>drug-drug interaction,adverse drug events,minimal information model,clinical informatics,knowledge representation</v>
          </cell>
          <cell r="H680" t="str">
            <v>Q1</v>
          </cell>
        </row>
        <row r="681">
          <cell r="B681" t="str">
            <v>10.3389/fphy.2023.1116993</v>
          </cell>
          <cell r="C681" t="str">
            <v>"It is renowned that Hirotaâ€“Satsumaâ€“Ito (HSI) equation is widely used to study wave dynamics of shallow water. In this work, two new HSI-like equations are investigated which could be extended to diversify problems in natural phenomena and give admirable contributions by applying the generalized exponential rational function method (GERFM). With the aid of symbolic calculations, various constraints on the free parameters are given, while classes of wave solutions are explicitly constructed from the coefficients of the combined non-linear and dissipative terms. After specifying values for free parameters, singular, periodic singular and anti-kink waves are demonstrated in 3D figures to exhibit different kinds of wave propagations. The fact that parameters directly influence the wave amplitude and speed of traveling waves is illustrated. The derived results are innovative and have important applications in the current field of mathematical physics research. Eventually, we show that generalized exponential rational function method is effective and straightforward to solve higher-order and high-dimensional non-linear evolution equations."</v>
          </cell>
          <cell r="E681" t="str">
            <v>PHYSICS, MULTIDISCIPLINARY</v>
          </cell>
          <cell r="F681" t="str">
            <v>hirota-satsuma-ito equation,shallow water,generalized exponential rational function method,symbolic computation,solitary,anti-kink</v>
          </cell>
          <cell r="H681" t="str">
            <v>Q2</v>
          </cell>
        </row>
        <row r="682">
          <cell r="B682" t="str">
            <v>10.3389/fpls.2023.1099009</v>
          </cell>
          <cell r="C682" t="str">
            <v>"The development of efficient pipelines for the bioconversion of grass lignocellulosic feedstocks is challenging due to the limited understanding of the molecular mechanisms controlling the synthesis, deposition, and degradation of the varying polymers unique to grass cell walls. Here, we describe a large-scale forward genetic approach resulting in the identification of a collection of chemically mutagenized maize mutants with diverse alterations in their cell wall attributes such as crystalline cellulose content or hemicellulose composition. Saccharification yield, i.e. the amount of lignocellulosic glucose (Glc) released by means of enzymatic hydrolysis, is increased in two of the mutants and decreased in the remaining six. These mutants, termed candy-leaf (cal), show no obvious plant growth or developmental defects despite associated differences in their lignocellulosic composition. The identified cal mutants are a valuable tool not only to understand recalcitrance of grass lignocellulosics to enzymatic deconstruction but also to decipher grass-specific aspects of cell wall biology once the genetic basis, i.e. the location of the mutation, has been identified."</v>
          </cell>
          <cell r="E682" t="str">
            <v>PLANT SCIENCES</v>
          </cell>
          <cell r="F682" t="str">
            <v>maize,cell wall,mutant,lignocellolusic biomass,saccharification</v>
          </cell>
          <cell r="H682" t="str">
            <v>Q1</v>
          </cell>
        </row>
        <row r="683">
          <cell r="B683" t="str">
            <v>10.3389/fpls.2023.1132555</v>
          </cell>
          <cell r="C683" t="str">
            <v>"Plants are the sources of many bioactive secondary metabolites which are present in plant organs including leaves, stems, roots, and flowers. Although they provide advantages to the plants in many cases, they are not necessary for metabolisms related to growth, development, and reproduction. They are specific to plant species and are precursor substances, which can be modified for generations of various compounds in different plant species. Secondary metabolites are used in many industries, including dye, food processing and cosmetic industries, and in agricultural control as well as being used as pharmaceutical raw materials by humans. For this reason, the demand is high; therefore, they are needed to be obtained in large volumes and the large productions can be achieved using biotechnological methods in addition to production, being done with classical methods. For this, plant biotechnology can be put in action through using different methods. The most important of these methods include tissue culture and gene transfer. The genetically modified plants are agriculturally more productive and are commercially more effective and are valuable tools for industrial and medical purposes as well as being the sources of many secondary metabolites of therapeutic importance. With plant tissue culture applications, which are also the first step in obtaining transgenic plants with having desirable characteristics, it is possible to produce specific secondary metabolites in large-scale through using whole plants or using specific tissues of these plants in laboratory conditions. Currently, many studies are going on this subject, and some of them receiving attention are found to be taken place in plant biotechnology and having promising applications. In this work, particularly benefits of secondary metabolites, and their productions through tissue culture-based biotechnological applications are discussed using literature with presence of current studies."</v>
          </cell>
          <cell r="E683" t="str">
            <v>PLANT SCIENCES</v>
          </cell>
          <cell r="F683" t="str">
            <v>Tissue culture,gene transfer,bioreactor,hairy root,bioengineering</v>
          </cell>
          <cell r="H683" t="str">
            <v>Q1</v>
          </cell>
        </row>
        <row r="684">
          <cell r="B684" t="str">
            <v>10.3389/fpsyg.2021.742060</v>
          </cell>
          <cell r="C684" t="str">
            <v>"This study investigated the impact of pranayamic breathing (PB) as a positive psychology exercise on mitigating foreign language anxiety (FLLA) and test anxiety (TA) of undergraduate English students studying at a Turkish university. Additionally, the study examined the effects of PB on academic achievement in listening and reading comprehension skills of the participants as well as exploring learnersâ€™ and their instructorâ€™s perceptions of using PB techniques in their classrooms. The sample consisted of 140 sophomore English language learners. Two intact classes, each comprising 70 participants, were selected as the experimental and the control group using convenience sampling. Two basic PB techniques, Nadi Shodhana Pranayama and Bhramari Pranayama, were implemented to the experimental group on a weekly basis for a total of 7 weeks. In this mixed-method study, the quantitative data were gathered using English Language Learning Anxiety Scale, Foreign Language Test Anxiety Scale, and listening and reading achievement pre- and post-tests, while the qualitative data were collected using semi-structured interviews, and the teacherâ€™s reflective journal. The findings revealed that the implementation of positive psychology technique of pranayama breathing mitigated the FLLA and TA levels significantly and also improved listening and reading comprehension skills of the participants to a considerable extent. The findings also demonstrated that both the students and their instructor perceived PB implementation as a useful and a practical medium in alleviating the anxious feelings, promoting the general class atmosphere and regulating daily habits despite the implementational challenges shared by the instructor."</v>
          </cell>
          <cell r="E684" t="str">
            <v>PSYCHOLOGY, MULTIDISCIPLINARY</v>
          </cell>
          <cell r="F684" t="str">
            <v>pranayamic breathing,mindfulness,test anxiety,foreign language anxiety,mindfulness-based stress reduction,positive psychology</v>
          </cell>
          <cell r="H684" t="str">
            <v>Q1</v>
          </cell>
        </row>
        <row r="685">
          <cell r="B685" t="str">
            <v>10.3389/fpsyg.2022.937211</v>
          </cell>
          <cell r="C685" t="str">
            <v>"Despite being bio-epidemiological phenomena, the causes and effects of pandemics are culturally influenced in ways that go beyond national boundaries. However, they are often studied in isolated pockets, and this fact makes it difficult to parse the unique influence of specific cultural psychologies. To help fill in this gap, the present study applies existing cultural theories via linear mixed modeling to test the influence of unique cultural factors in a multi-national sample (that moves beyond Western nations) on the effects of age, biological sex, and political beliefs on pandemic outcomes that include adverse financial impacts, adverse resource impacts, adverse psychological impacts, and the health impacts of COVID. Our study spanned 19 nations (participant N = 14,133) and involved translations into 9 languages. Linear mixed models revealed similarities across cultures, with both young persons and women reporting worse outcomes from COVID across the multi-national sample. However, these effects were generally qualified by culture-specific variance, and overall more evidence emerged for effects unique to each culture than effects similar across cultures. Follow-up analyses suggested this cultural variability was consistent with models of pre-existing inequalities and socioecological stressors exacerbating the effects of the pandemic. Collectively, this evidence highlights the importance of developing culturally flexible models for understanding the cross-cultural nature of pandemic psychology beyond typical WEIRD approaches."</v>
          </cell>
          <cell r="E685" t="str">
            <v>PSYCHOLOGY, MULTIDISCIPLINARY</v>
          </cell>
          <cell r="F685" t="str">
            <v>COVID-19,cultural psychology,age,biological sex,political beliefs,cross-cultural psychology,pandemic psychology,adverse psychological change</v>
          </cell>
          <cell r="H685" t="str">
            <v>Q1</v>
          </cell>
        </row>
        <row r="686">
          <cell r="B686" t="str">
            <v>10.3389/fpsyg.2022.988550</v>
          </cell>
          <cell r="C686" t="str">
            <v>"Previous studies have reported that null subject is not completely lost in heritage speakers, but there is an increase in the production and acceptance of overt subjects. Turkish is a pro-drop language and as a typical feature of pro-drop languages, it requires obligatory verb agreement marking for sentences with null subjects. However, Turkish subject-verb agreement marking is an example of optional agreement in which the 3rd person plural subject has optionality and can be used with singular verb forms under certain conditions. The current study investigates the reading times (RTs) of plural-marked and unmarked verbs in sentences with overt and null subjects during real time sentence processing in comparison to non-heritage speakers of Turkish via a self-paced reading experiment. Significant differences were observed between the heritage and non-heritage speakers of Turkish indicating both quantitative and qualitative real-time processing differences between the two groups. These differences suggest that Turkish heritage speakers need more time to integrate the information in real time processing."</v>
          </cell>
          <cell r="E686" t="str">
            <v>PSYCHOLOGY, MULTIDISCIPLINARY</v>
          </cell>
          <cell r="F686" t="str">
            <v>heritage speakers,Turkish,pro-drop,subject-verb agreement,sentence processing,morphosyntactic knowledge</v>
          </cell>
          <cell r="H686" t="str">
            <v>Q1</v>
          </cell>
        </row>
        <row r="687">
          <cell r="B687" t="str">
            <v>10.3389/fpsyg.2023.1286407</v>
          </cell>
          <cell r="C687" t="str">
            <v>"Definiteness has been argued to be difficult for language learners to acquire because the correct usage of definiteness requires the integration of external interfaces that involve linguistic and non-linguistic information. Previous offline studies with heritage speakers have constantly reported difficulties in the use of pragmatically appropriate definite forms. The current study aims to investigate the processing of definiteness in Turkish heritage speakers via a self-paced reading experiment and to compare heritage speakers' reading times and end-of-sentence acceptance percentage to monolingually-raised Turkish speakers. The results of the experiment indicate significant differences between the heritage and monolingually-raised Turkish speakers only in the end-of-sentence acceptance percentage data but not in the reading time data. This difference between the two groups suggests that Turkish heritage speakers perform differently from the monolingually-raised Turkish speakers only in indefinite-specific sentences when they have to use their metalinguistic knowledge. These results show that heritage speakers experience vulnerability/difficulty when they have to integrate external interfaces in indefinite-specific sentences but not in definite-specific sentences."</v>
          </cell>
          <cell r="E687" t="str">
            <v>PSYCHOLOGY, MULTIDISCIPLINARY</v>
          </cell>
          <cell r="F687" t="str">
            <v>heritage speakers,Turkish,definiteness,sentence processing,external interface</v>
          </cell>
          <cell r="H687" t="str">
            <v>Q1</v>
          </cell>
        </row>
        <row r="688">
          <cell r="B688" t="str">
            <v>10.3390/coatings12081092</v>
          </cell>
          <cell r="C688" t="str">
            <v>"Unlike the term sound insulation, which means reducing the penetration of noise into other areas, sound absorption means reducing the reflection and energy of the sound on the surface. It has become a highly noticed issue in recent years because the noise in our daily life is increasing day by day, and it causes some health and comfort disorders. In many areas, textiles have been used for acoustics control and noise absorption purposes. The purpose of this work is to determine the most effective media for sound absorption performance and its relation to thermal conductivity from needle-punched nonwoven, meltblown nonwoven and hybrid forms in different arrangements of these fabrics. To provide comparable samples, both needle-punched nonwoven and meltblown nonwoven samples were produced from 100% Polypropylene fibres. According to sound absorption tests, the hybrid-structured sample having a composition similar to the needle-punched nonwoven sample placed at the bottom of our study, while the meltblown nonwoven sample placed as a face layer outperformed the rest of the samples in terms of sound absorption and thermal conductivity. â€˜Meltblown onlyâ€™ samples had remarkably higher sound absorption efficiency than most of the samples, while the â€˜needle-punched nonwoven onlyâ€™ sample had the lowest sound absorption efficiency in all frequencies."</v>
          </cell>
          <cell r="E688" t="str">
            <v>MATERIALS SCIENCE, COATINGS &amp; FILMS|MATERIALS SCIENCE, MULTIDISCIPLINARY|PHYSICS, APPLIED</v>
          </cell>
          <cell r="F688" t="str">
            <v>needle-punching,melt blowing,hybrid structures,nonwoven,sound absorption,thermal conductivity</v>
          </cell>
          <cell r="H688" t="str">
            <v>Q2</v>
          </cell>
        </row>
        <row r="689">
          <cell r="B689" t="str">
            <v>10.3390/ijms232214201</v>
          </cell>
          <cell r="C689" t="str">
            <v>"Myometrium cells are an important reproductive niche in which cyclic mechanical forces of a pico-newton range are produced continuously at millisecond and second intervals. Overproduction and/or underproduction of micro-forces, due to point or epigenetic mutation, aberrant methylation, and abnormal response to hypoxia, may lead to the transformation of fibroid stem cells into fibroid-initiating stem cells. Fibroids are tumors with a high modulus of stiffness disturbing the critical homeostasis of the myometrium and they may cause unfavorable and strong mechanical forces. Micro-mechanical forces and soluble-chemical signals play a critical role in transcriptional and translational processesâ€™ maintenance, by regulating communication between the cell nucleus and its organelles. Signals coming from the external environment can stimulate cells in the format of both soluble biochemical signals and mechanical ones. The shape of the cell and the plasma membrane have a significant character in sensing electro-chemical signals, through specialized receptors and generating responses, accordingly. In order for mechanical signals to be perceived by the cell, they must be converted into biological stimuli, through a process called mechanotransduction. Transmission of fibroid-derived mechanical signals to the endometrium and their effects on receptivity modulators are mediated through a pathway known as solid-state signaling. It is not sufficiently clear which type of receptors and mechanical signals impair endometrial receptivity. However, it is known that biomechanical signals reaching the endometrium affect epithelial sodium channels, lysophosphatidic acid receptors or Rho GTPases, leading to conformational changes in endometrial proteins. Translational changes in receptivity modulators may disrupt the selectivity and receptivity functions of the endometrium, resulting in failed implantation or early pregnancy loss. By hypermethylation of the receptivity genes, micro-forces can also negatively affect decidualization and implantation. The purpose of this narrative review is to summarize the state of the art of the biomechanical forces which can determine fibroid stem cell transformation and, thus, affect the receptivity status of the endometrium with regard to fertilization and pregnancy."</v>
          </cell>
          <cell r="E689" t="str">
            <v>BIOCHEMISTRY &amp; MOLECULAR BIOLOGY|CHEMISTRY, MULTIDISCIPLINARY</v>
          </cell>
          <cell r="F689" t="str">
            <v>uterine fibroid,fibroid stem cells,endometrium,mechanotransduction,micro-mechanical forces,endometrial receptivity</v>
          </cell>
          <cell r="H689" t="str">
            <v>Q1</v>
          </cell>
        </row>
        <row r="690">
          <cell r="B690" t="str">
            <v>10.3390/plants12040867</v>
          </cell>
          <cell r="C690" t="str">
            <v>"The effects of heating (40 Â°C, 1 and 2 h) in dark and light conditions on the photosynthetic activity (photosynthesis rate and photosystem II activity), content of photosynthetic pigments, activity of antioxidant enzymes, content of thiobarbituric acid reactive substances (TBARs), and expression of a number of key genes of antioxidant enzymes and photosynthetic proteins were studied. It was shown that, in darkness, heating reduced CO2 gas exchange, photosystem II activity, and the content of photosynthetic pigments to a greater extent in the phyB mutant than in the wild type (WT). The content of TBARs increased only in the phyB mutant, which is apparently associated with a sharp increase in the total peroxidase activity in WT and its decrease in the phyB mutant, which is consistent with a noticeable decrease in photosynthetic activity and the content of photosynthetic pigments in the mutant. No differences were indicated in all heated samples under light. It is assumed that the resistance of the photosynthetic apparatus to a short-term elevated temperature depends on the content of PHYB active form and is probably determined by the effect of phytochrome on the content of low-molecular weight antioxidants and the activity of antioxidant enzymes."</v>
          </cell>
          <cell r="E690" t="str">
            <v>PLANT SCIENCES</v>
          </cell>
          <cell r="F690" t="str">
            <v>A,thaliana,high temperatures,photosynthetic activity,oxidative stress,antioxidants,phytochrome mutants</v>
          </cell>
          <cell r="H690" t="str">
            <v>Q1</v>
          </cell>
        </row>
        <row r="691">
          <cell r="B691" t="str">
            <v>10.3409/fb_70-1.05</v>
          </cell>
          <cell r="C691" t="str">
            <v>"We published the abovementioned article about probiotic mixture VSL#3 on October 6, 2021. Since the product was named VSL#3 in our purchasing process in early 2016, it is referred to as VSL#3 in our article. In addition, the product currently known as VSL#3 is not the same as De Simone\n Formulation. De Simone Formulation is now available as VisbiomeÂ® in the United States and VivomixxÂ® in Europe. The authors would like to apologise for any inconvenience caused"</v>
          </cell>
          <cell r="E691" t="str">
            <v>BIOLOGY</v>
          </cell>
          <cell r="F691" t="str">
            <v>Cytokines,probiotics,omega-3 fatty acids,inflammatory bowel diseases,colitis</v>
          </cell>
          <cell r="H691" t="str">
            <v>Q4</v>
          </cell>
        </row>
        <row r="692">
          <cell r="B692" t="str">
            <v>10.34172/bi.2022.23467</v>
          </cell>
          <cell r="C692" t="str">
            <v>"Introduction: Pompe disease (PD) is a disease caused by pathogenic variations in the GAA gene known as glycogen storage disease type II, characterized by heart hypertrophy, respiratory failure, and muscle hypotonia, leading to premature death if not treated early. The only treatment option, enzyme replacement therapy (ERT), significantly improves the prognosis for some patients while failing to help others. In this study, the determination of key genes involved in the response to ERT and potential molecular mechanisms were investigated. Methods: Gene Expression Omnibus (GEO) data, accession number GSE38680, containing samples of biceps and quadriceps muscles was used. Expression array data were analyzed using BRB-Array Tools. Biceps group patients did not receive ERT, while quadriceps received treatment with rhGAA at 0, 12, and 52 weeks. Differentially expressed genes (DEGs) were deeply analyzed by DAVID, GO, KEGG and STRING online analyses, respectively.  Results: A total of 1727 genes in the biceps group and 1198 genes in the quadriceps group are expressed differently. It was observed that DEGs were enriched in the group that responded poorly to ERT in the 52nd week. Genes frequently changed in the weak response group; the expression of 530 genes increased and 1245 genes decreased compared to 0 and 12 weeks. The GO analysis demonstrated that the DEGs were mainly involved in vascular smooth muscle contraction, lysosomes, autophagy, regulation of actin cytoskeleton, inflammatory response, and the WNT signaling pathway. We also discovered that the WNT signaling pathway is highly correlated with DEGs. Several DEGs, such as WNT11, WNT5A, CTNNB1, M6PR, MYL12A, VCL, TLN, FYN, YES1, and BCL2, may be important in elucidating the mechanisms underlying poor response to ERT. Conclusion: Early diagnosis and treatment of PD are very important for the clinic of the disease. As a result, it suggests that the enriched genes and new pathways emerging as a result of the analysis may help identify the group that responds poorly to treatment and the outcome of the treatment. Obtained genes and pathways in neonatal screening will guide diagnosis and treatment. "</v>
          </cell>
          <cell r="E692" t="str">
            <v>PHARMACOLOGY &amp; PHARMACY</v>
          </cell>
          <cell r="F692" t="str">
            <v>Pompe disease,GEO data,Bioinformatics,Differentially expressed genes,Enzyme replacement treatment,Wnt signaling pathway</v>
          </cell>
          <cell r="H692" t="str">
            <v>Q3</v>
          </cell>
        </row>
        <row r="693">
          <cell r="B693" t="str">
            <v>10.35365/ctjpp.22.4.04</v>
          </cell>
          <cell r="C693" t="str">
            <v>"Emerging adulthood, which coincides with the transition period between late adolescence and early adulthood, is a risky period in the development of psychopathologies due to its developmental characteristics. Emotion regulation difficulties are one of the psychological factors that play a role in the development and maintenance of co-occurring psychopathologies such as depression and eating disorders. The current study, which was conducted during the coronavirus pandemic, it was aimed to examine the mediating role of difficulty in emotion regulation in the relationship between risky eating attitudes and depressive symptoms in emerging adults. The research sample consists of 371 people, 227 women and 144 men, between the ages of 18-25. Beck Depression Inventory, Difficulties in Emotion Regulation Scale, and Eating Attitudes Test-Short Form were used for data collection. The data were collected online, during the coronavirus pandemic. The results of the simple mediation model test showed that the direct effect of eating attitudes on depression symptoms was not significant, but the indirect effect was. Accordingly, eating attitudes were not directly associated with depressive symptoms, but it leads an increase in depressive symptoms through increasing the emotion regulation difficulties. The effects of gender and body mass index, which were included in the mediation model to control the effect on depression symptoms, were not significant. Findings of the study indicated that risky eating attitudes in emerging adults lead to increase in emotion regulation difficulties, which in turn lead to increase in depressive symptoms. The findings and their clinical implications are discussed in the light of the relevant literature. Â© 2022 The Author(s)."</v>
          </cell>
          <cell r="E693" t="str">
            <v>PSYCHIATRY|PSYCHOLOGY, MULTIDISCIPLINARY</v>
          </cell>
          <cell r="F693" t="str">
            <v>Eating Attitudes,Depression,Emotion Regulation,Emerging Adulthood</v>
          </cell>
          <cell r="H693" t="str">
            <v>Q4</v>
          </cell>
        </row>
        <row r="694">
          <cell r="B694" t="str">
            <v>10.35378/gujs.800301</v>
          </cell>
          <cell r="C694" t="str">
            <v>"In this study, the comfort properties of water-proof but breathable (water vapour permeable) textile fabrics having the composite structure containing a membrane layer or a coating layer are examined. In the present study, parameters such as ambient conditions, the air gap between body and garment, thickness of materials used in the production of garments and composite structure affecting the comfort properties of the structures mentioned above were examined. After the selection and obtaining the samples; water vapour permeability, air permeability, waterproofness tests were respectively applied and the results were interpreted in a way that producers and related scientists could benefit. The most important results achieved here are that the water vapour permeability decreases as the thickness of the membrane/coating in which the fabrics are coated/laminated increases, the air gap between the body and the garment reduces the water vapour permeability greatly, the membrane character (microporous / non-porous) has different effects on the water vapour permeability in different ambient conditions. These results sound promising for future studies."</v>
          </cell>
          <cell r="E694" t="str">
            <v>MULTIDISCIPLINARY SCIENCES</v>
          </cell>
          <cell r="F694" t="str">
            <v>Comfort,Breathable fabrics,Membranes,Thermaphysiology,Sem analysis</v>
          </cell>
          <cell r="H694" t="str">
            <v>Q3</v>
          </cell>
        </row>
        <row r="695">
          <cell r="B695" t="str">
            <v>10.35530/IT.073.06.202294B</v>
          </cell>
          <cell r="C695" t="str">
            <v>"In this study, it was aimed to produce nanofibers from polyvinyl alcohol (PVA) polymer using natural solvents such as\nrose water, rose extract and mate plant extract by the environmentally friendly electrospinning or green electrospinning\ntechnique in other words and it was also aimed to investigate the morphological properties of produced nanofibers. For\nthis purpose, nanofibers having 7 different morphologies were produced from 4% PVA aqueous solutions. The\nmorphologies of the produced nanofibers were analysed by scanning electron microscopy (SEM). As a result of these\nanalyses, it was observed that uniform nanofiber morphology was formed in nanofiber productions made with distilled\nwater, while in the others, dense bead structure was formed at low voltages and nanofiber morphology with reduced\nbead amount at high voltages was observed. In all electrospinning experiments, it was observed that the nanofibers\nwere randomly collected on the collector plate. It was observed that the nanofibers obtained from the solutions prepared\nfrom solvents other than distilled water, especially the one from the mate plant extract, had a low bead structure and a\nsmooth morphology. These results showed that environmentally friendly nanofibers can be produced from natural\nsolvents by electrospinning technique and their morphological properties can be improved via modification in process\nconditions. It is thought that the nanofibers produced within the scope of the study are candidate materials especially\nfor health, hygiene and food applications since they are produced in pure properties without using any other additives."</v>
          </cell>
          <cell r="E695" t="str">
            <v>MATERIALS SCIENCE, TEXTILES</v>
          </cell>
          <cell r="F695" t="str">
            <v>green electrospinning,nanofibers,rose water,mate,PVA</v>
          </cell>
          <cell r="H695" t="str">
            <v>Q3</v>
          </cell>
        </row>
        <row r="696">
          <cell r="B696" t="str">
            <v>10.36519/idcm.2023.243</v>
          </cell>
          <cell r="C696" t="str">
            <v>"Objective: This study aimed to compare 28-day mortality between patients have hospital-acquired influenza (HAI) and those have community-acquired influenza (CAI) during the 2017-2019 influenza seasons in a tertiary care center in Ä°stanbul, TÃ¼rkiye.\n\nMaterials and Methods: This retrospective cohort included all hospitalized patients who had confirmed influenza infection and were over 17 years old. HAI was defined as a case of influenza that tested negative in a PCR test or had no signs of influenza on admission but with a positive test result at any point after 72 hours of admission. CAI was defined as a case of influenza diagnosed within 72 hours of admission or before admission. The primary outcome was 28-day mortality after diagnosis. Biological sex, admission to the intensive care unit (ICU), presence of chronic obstructive pulmonary disease, cardiovascular and immunosuppressive comorbidities, influenza subtype, and other variables identified with univariate analyses (p&lt;0.25) were entered into logistic regression analysis.\n\nResults: During the study period, 92 (46%) of 201 hospitalized patients who tested positive for influenza were identified as HAI, and the rest (109) were identified as CAI. Univariate analysis showed no differences between survivors and non-survivors in patient characteristics, except non-survivors were more likely to have an ICU admission. The multivariable logistic regression analysis results showed that HAI was associated with 5.6-fold increased odds of mortality (95% confidence interval [CI]=1.6-19.3; p=0.006, Figure 2), after adjustment for age, gender, comorbidity, and ICU admission.\n\nConclusion: The results of this study revealed that patients who had HAI were more likely to die within 28 days compared to those who had CAI after controlling for key confounders. The high rate of HAI underscores the critical importance of robust infection control measures for hospital-acquired viral infections. Additional research and targeted interventions are necessary to improve the HAI prognosis.\n\nKeywords: influenza, human, Influenza vaccines, cross infection, hospital-acquired viral illness, mortality"</v>
          </cell>
          <cell r="E696" t="str">
            <v>INFECTIOUS DISEASES|MICROBIOLOGY</v>
          </cell>
          <cell r="F696" t="str">
            <v>influenza,human,Influenza vaccines,cross infection,hospital-acquired viral illness,mortality</v>
          </cell>
          <cell r="H696" t="str">
            <v>Q4</v>
          </cell>
        </row>
        <row r="697">
          <cell r="B697" t="str">
            <v>10.36519/kd.2023.4510</v>
          </cell>
          <cell r="C697" t="str">
            <v>"Objective: This study aimed to determine the 28-day hospital admission incidence and risk factors related to the hospitalization of COVID-19 patients who were followed as outpatients in a university hospital.\n\nMethods: A retrospective cohort study was designed in which the sociodemographic characteristics, symptoms on the first visit, presence of comorbidities, and viral load predictor cycle threshold (Ct) value were defined as independent variables and hospital admission in the first 28 days after the first visit was defined as dependent variable. Factors related to hospital admission were evaluated with univariate and multivariate analyses. Cox regression analysis was used for multivariate analyses, and the effect size was determined with a hazard ratio (HR). Statistical significance was defined as p&lt;0.05.\n\nResults: 368 patients were included in this study. The median (25-75th percentile) age was 36 (28-45) years, and 46.1% of the patients were female. Sixty-five patients (17.7%) were hospitalized in the first 28 days. When age â‰¤29 referenced, ageâ‰¥50 (HR=4.1, 95% confidence interval [CI]=1.7-9.6), 40-49 (HR=3.0, 95% CI=1.3-6.6) and 30-39 (HR=1.6, 95% CI=0.6-3.6), fever or chills, (HR=2.3, 95% CI=1.3-4.1), dyspnea (HR=2.0, 95% CI=1.1-3.4), fatigue (HR=1.9, 95% CI=1.0-3.5), vomiting (HR=3.0, 95% CI=1.5-5.8), and sore throat (HR=0.4, 95% CI=0.2-0.8) were defined as independent risk factors according to multivariable analysis. Hypertension was the only comorbidity independently predicting hospital admission (HR=2.2, 95% CI=1.0-4.4).\n\nConclusion: Advanced age, systemic and lower respiratory tract infection signs, and hypertension independently increased the 28-day hospital admission. The presence of a sore throat was not a factor for hospital admission. A lower risk of hospital admission in patients with sore throats may indicate that the patient will have a mild upper respiratory tract infection and will not progress to severe disease. Due to missing data, this study could not fully evaluate the hospital admission risk factors. Studies that include clinical, laboratory, and radiological findings are needed to generate a more accurate model predicting hospital admission risk."</v>
          </cell>
          <cell r="E697" t="str">
            <v>MEDICINE, GENERAL &amp; INTERNAL</v>
          </cell>
          <cell r="H697" t="str">
            <v>Q3</v>
          </cell>
        </row>
        <row r="698">
          <cell r="B698" t="str">
            <v>10.37190/ABB-01861-2021-02</v>
          </cell>
          <cell r="C698" t="str">
            <v>"Purpose: The aim of the study was to evaluate marginal adaptation properties of five different sealers used as root filling material. Materials: Apical resection was performed on 100 canals of 50 maxillary premolars in slaughtered pigs. The root end of 24 canals were retrogradely filled with Diaketâ„¢, 37 root canals with Super-EBAâ„¢ including 18 with Super-EBAâ„¢. Regular and 19 with Super-EBAâ„¢ fast, 20 canals with ProRootÂ® MTA and 19 canals with AH-Plusâ„¢. For quantitative examination, scanning electron microscope (SEM) analysis and for qualitative examination, microradiography was performed. Results: Diaketâ„¢ achieved an overall average of 4.872 microns gap value as the best result. The mean values of marginal gap widths of AH-Plusâ„¢ and Super-EBAâ„¢ were almost with 8.044 microns and 9.951 microns in about the same magnitude, followed by Super-EBAâ„¢ Regular with 11,560 microns. Highest marginal gap value was found for ProRootÂ® MTA with 18.343 microns (p &lt; 0.001). Conclusions: Both in terms of its marginal integrity and material properties, Diaketâ„¢ is the most suitable material for retrograde obturation. A preliminary version of the current paper could be found at www.researchsquare.com/article/rs-6198/v1."</v>
          </cell>
          <cell r="E698" t="str">
            <v>BIOPHYSICS|ENGINEERING, BIOMEDICAL</v>
          </cell>
          <cell r="F698" t="str">
            <v>apical,endodontics,polymer,sealing,tooth</v>
          </cell>
          <cell r="H698" t="str">
            <v>Q4</v>
          </cell>
        </row>
        <row r="699">
          <cell r="B699" t="str">
            <v>10.3758/s13421-022-01315-0</v>
          </cell>
          <cell r="C699" t="str">
            <v>"How do people come to consider a morally unacceptable action, such as â€œa passenger in an airplane does not want to sit next to a Muslim passenger and so he tells the stewardess the passenger must be moved to another seatâ€, to be less unacceptable? We propose they tend to imagine counterfactual alternatives about how things could have been different that transform the unacceptable action to be less unacceptable. Five experiments identify the cognitive processes underlying this imaginative moral shift: an action is judged less unacceptable when people imagine circumstances in which it would have been moral. The effect occurs for immediate counterfactuals and reflective ones, but is greater when participants create an immediate counterfactual first, and diminished when they create a reflective one first. The effect also occurs for unreasonable actions. We discuss the implications for alternative theories of the mental representations and cognitive processes underlying moral judgments."</v>
          </cell>
          <cell r="E699" t="str">
            <v>PSYCHOLOGY, EXPERIMENTAL</v>
          </cell>
          <cell r="F699" t="str">
            <v>Imagination,Counterfactuals,Morality,Judgments</v>
          </cell>
          <cell r="H699" t="str">
            <v>Q2</v>
          </cell>
        </row>
        <row r="700">
          <cell r="B700" t="str">
            <v>10.3846/mma.2021.12057</v>
          </cell>
          <cell r="C700" t="str">
            <v>"In the present paper, reproducing kernel method (RKM) is introduced, which is employed to solve singularly perturbed convection-diffusion parabolic problems (SPCDPPs). It is noteworthy to mention that regarding very serve singularities, there are regular boundary layers in SPCDPPs. On the other hand, getting a reliable approximate solution could be difficult due to the layer behavior of SPCDPPs. The strategy developed in our method is dividing the problem region into two regions, so that one of them would contain a boundary layer behavior. For more illustrations of the method, certain linear and nonlinear SPCDPP are solved."</v>
          </cell>
          <cell r="E700" t="str">
            <v>MATHEMATICS</v>
          </cell>
          <cell r="F700" t="str">
            <v>reproducing kernel method,singularly perturbed parabolic problems,error analysis,boundary layer behavior</v>
          </cell>
          <cell r="H700" t="str">
            <v>Q1</v>
          </cell>
        </row>
        <row r="701">
          <cell r="B701" t="str">
            <v>10.3906/biy-2106-61</v>
          </cell>
          <cell r="C701" t="str">
            <v>"With the emergence of the new SARS-CoV-2 virus, drug repurposing studies have gained substantial importance. Combined with the efficacy of recent improvements in ligand- and target-based virtual screening approaches, virtual screening has become faster and more productive than ever. In the current study, an FDA library of approved drugs and compounds under clinical investigation were screened for their antiviral activity using the antiviral therapeutic activity binary QSAR model of the MetaCore/MetaDrug platform. Among 6733-compound collection, we found 370 compounds with a normalized therapeutic activity value greater than a cutoff of 0.75. Only these selected compounds were used for molecular docking studies against the SARS-CoV-2 main protease (Mpro). After initial short (10 ns) molecular dynamics (MD) simulations with the top-50 docking scored compounds and following molecular mechanics generalized born surface area (MM/GBSA) calculations, top-10 compounds were subjected to longer (100 ns) MD simulations and end-point MM/GBSA estimations. Our virtual screening protocol yielded Cefuroxime pivoxetil, an ester prodrug of second-generation cephalosporin antibiotic Cefuroxime, as being a considerable molecule for drug repurposing against the SARS-CoV-2 Mpro."</v>
          </cell>
          <cell r="E701" t="str">
            <v>BIOLOGY</v>
          </cell>
          <cell r="F701" t="str">
            <v>Binary QSAR,virtual screening,drug repurposing,SARS-CoV-2</v>
          </cell>
          <cell r="H701" t="str">
            <v>Q3</v>
          </cell>
        </row>
        <row r="702">
          <cell r="B702" t="str">
            <v>10.3906/elk-2009-95</v>
          </cell>
          <cell r="C702" t="str">
            <v>": ECC is a popular cryptographic algorithm for key distribution in wireless sensor networks where power eï¬€iciency is desirable. A power eï¬€icient implementation of ECC without using hardware multiplier support was proposed earlier for wireless sensor nodes. The proposed implementation utilized the number theoretic transform to carry operands to the frequency domain, and conducted Montgomery multiplication, in addition to other finite field operations, in that domain. With this work, we perform in the frequency domain only polynomial multiplication and use the fast Fourier transform to carry operands between the time and frequency domains. Our ECC implementation over GF ((2 13 âˆ’ 1) 13 ) on the MSP430 microcontroller implements multiplications without using a hardware multiplier. It achieves scalar multiplication with fixed and random points in only 0.89 s and 1.74 s, respectively. Our implementation achieves ECC point multiplication of fixed and random points 10% and 13% faster, and consuming 12% and 15% less energy, in comparison to the existing work."</v>
          </cell>
          <cell r="E702" t="str">
            <v>COMPUTER SCIENCE, ARTIFICIAL INTELLIGENCE|ENGINEERING, ELECTRICAL &amp; ELECTRONIC</v>
          </cell>
          <cell r="F702" t="str">
            <v>Elliptic curve cryptography,public-key cryptography,Internet of things,wireless sensor networks,Edwards curve,fast Fourier transform</v>
          </cell>
          <cell r="H702" t="str">
            <v>Q4</v>
          </cell>
        </row>
        <row r="703">
          <cell r="B703" t="str">
            <v>10.3906/fiz-2101-10</v>
          </cell>
          <cell r="C703" t="str">
            <v>": We propose a quantum Otto cycle in a two spin- 1/2 anisotropic XY model in a transverse external magnetic field. We first characterize the parameter regime that the working medium operates as an engine in the adiabatic regime. Then, we consider finite-time behavior of the engine with and without utilizing a shortcut to adiabaticity (STA) technique. STA schemes guarantee that the dynamics of a system follows the adiabatic path, at the expense of introducing an external control. We compare the performance of the nonadiabatic and STA engines for a fixed adiabatic efficiency but different parameters of the working medium. We observe that, for certain parameter regimes, the irreversibility, as measured by the efficiency lags, due to finite-time driving is so low that nonadiabatic engine performs quite close to the adiabatic engine, leaving the STA engine only marginally better than the nonadiabatic one. This suggests that by designing the working medium Hamiltonian one may spare the difficulty of dealing with an external control protocol."</v>
          </cell>
          <cell r="E703" t="str">
            <v>PHYSICS, MULTIDISCIPLINARY</v>
          </cell>
          <cell r="F703" t="str">
            <v>Quantum thermodynamics,quantum heat engines,shortcuts to adiabaticity,thermodynamic irreversibility</v>
          </cell>
          <cell r="H703" t="str">
            <v>Q3</v>
          </cell>
        </row>
        <row r="704">
          <cell r="B704" t="str">
            <v>10.3906/sag-2001-27</v>
          </cell>
          <cell r="C704" t="str">
            <v>"Background/aim With the increase in the elderly population, the elderly proportion needing emergency surgery is also increasing. Despite medical advances in surgery and anesthesia, negative postoperative outcomes and high mortality rates are still present in elderly patients undergoing emergency surgery. Comorbidities are described as the main determining factors in poor outcomes. In this metaanalysis, it was aimed to investigate the effect of comorbidity on mortality in elderly patients undergoing emergency abdominal surgery. Materials and methods The studies published between 2010-2019 were scanned from databases of Google Scholar, Cinahl, Pub Med, Medline and Web of Science. Quality criteria proposed by Polit and Beck were used in the evaluation of the included studies. Interrater agreement was calculated by using the Kappa statistic, effect size by using the odds ratio, and heterogeneity among studies by using the Cochranâ€™s Q statistics. Kendallâ€™s Tau-b coefficient and funnel plot were used to determine publication bias. Results A total of 9 studies were included in the research. There was a total of 1330 cases in the studies. The total mortality rate was 21% (n = 279), the total rate of having a comorbid factor was 83.6% (n = 1112), and the rate of having a comorbid factor in mortality was 89.2% (n = 249). According to the fixed effects model, the total effect size of comorbid factors on causing mortality was not statistically significant with a value of 1.296 (C.I; 0.84-1.97; P &gt; 0.05). Conclusion Our study revealed that comorbidity had no significant effect on causing mortality in geriatric patients undergoing emergency abdominal surgery. There are controversial results in the literature, and in order to reach more precise results, studies involving wider groups of patients and further studies examining the specific effect of certain comorbid conditions are needed."</v>
          </cell>
          <cell r="E704" t="str">
            <v>MEDICINE, GENERAL &amp; INTERNAL</v>
          </cell>
          <cell r="F704" t="str">
            <v>Emergency,abdominal surgery,elderly,mortality,comorbid</v>
          </cell>
          <cell r="H704" t="str">
            <v>Q3</v>
          </cell>
        </row>
        <row r="705">
          <cell r="B705" t="str">
            <v>10.3906/sag-2101-224</v>
          </cell>
          <cell r="C705" t="str">
            <v>"Background/aim Cisplatin (CIS) is an effective antineoplastic agent used in the treatment of several cancer types. Peripheral neuropathy is a major dose-limiting side-effect in CIS therapy. Cannabinoids may alleviate this painful side effect. This study investigated the analgesic effects of anandamide (AN) on CIS-induced peripheral neuropathy, in vitro effects of AN in CIS neurotoxicity, and the contribution of nitric oxide (NO) in this effect. Materials and methods This is an experimental animal study. Primary dorsal root ganglion (DRG) cultures were prepared from one-day-old rats for in vitro investigations. DRG cells were incubated with CIS (100â€“300 Î¼M), and AN (10, 50, 100, and 500 Î¼M) was administered with the submaximal concentration of CIS. Female Sprague Dawley rats were divided into control, CIS, CIS+AN, CIS+AN+ L-NG-nitro arginine methyl ester (LNAME). CIS was administered 3 mg/kg i.p once weekly for 5 weeks. AN (1 mg/kg i.p) or in combination with 10 mg/kg i.p LNAME was administrated 30 min before CIS injection. Mechanical allodynia, thermal hyperalgesia, and tail clip tests were performed. After intracardiac perfusion, sciatic nerves (SN), and DRGs were isolated and semi-thin sections were stained with toluidine blue and investigated histologically. SPSS v. 21.0 and Sigma STAT 3.5 were used for statistical analysis. One/two way ANOVA, Kruskalâ€“Wallis, and Wilcoxon signed ranks tests were used. A p-value of 0.05 was accepted as significant. Results CIS caused significant mechanical allodynia. AN and AN+LNAME significantly increased hind paw withdrawal latency in mechanical allodynia test. The degenerated axons significantly increased in CIS group, while decreased in AN group. The frequency of larger neurons seemed to be higher in CIS+AN group. Conclusion AN may be a therapeutic alternative for the treatment of CIS-induced peripheral neuropathy. However, its central adverse effects must be considered."</v>
          </cell>
          <cell r="E705" t="str">
            <v>MEDICINE, GENERAL &amp; INTERNAL</v>
          </cell>
          <cell r="F705" t="str">
            <v>Cis-diamminedichloroplatinum(II),n-arachidonoylethanolamide,ng nitroarginine methyl ester,nitric oxide,peripheral neuropathy</v>
          </cell>
          <cell r="H705" t="str">
            <v>Q3</v>
          </cell>
        </row>
        <row r="706">
          <cell r="B706" t="str">
            <v>10.3928/01913913-20210122-01</v>
          </cell>
          <cell r="C706" t="str">
            <v>"\nPurpose:\nTo assess the etiology and distribution of pediatric ocular motor nerve palsy manifesting as paralytic strabismus.\n\n\nMethods:\nThe authors retrospectively examined the medical files of patients younger than 18 years who were suspected to have strabismus between January 1999 and June 2012 in three Turkish clinics and followed up for at least 6 months. Patients with paralytic strabismus were stratified according to age, sex, affected cranial nerve, and etiology (congenital, traumatic, neoplastic, post-viral, vascular, undetermined, or other), and compared the proportions between groups.\n\n\nResults:\nParalytic strabismus was observed in 33 of 1,263 patients (2.6%), with a mean age of 5.9 Â± 4.4 years (range: 6 months to 16 years). Seventeen patients (51.5%) were boys and 16 (48.5%) were girls. Twelve patients (36.4%) had congenital paralytic strabismus, and 21 patients (63.6%) had acquired strabismus. The most prevalent cause of acquired paralytic strabismus was trauma in 11 patients (52.4%), undetermined in 6 patients (28.6%), post-viral cranial nerve paralysis in 3 patients (14.3%), and a history of hydrocephalus in 1 patient (9.1%). The fourth cranial nerve was the most frequently affected (45.5% [15 of 33]), followed by the sixth (39.4% [13 of 33]) and the third (15.2% [5 of 33]).\n\n\nConclusions:\nEvaluating the incidence and etiology of paralytic strabismus in children in a clinical setting may improve disease management and reduce unnecessary invasive examinations. This study will assist clinicians in understanding the clinic-based distribution of pediatric paralytic strabismus.\n\n\n                [\n                J Pediatr Ophthalmol Strabismus\n                . 2021;58(5):282â€“286.]\n              \n\n"</v>
          </cell>
          <cell r="E706" t="str">
            <v>OPHTHALMOLOGY|PEDIATRICS</v>
          </cell>
          <cell r="H706" t="str">
            <v>Q4</v>
          </cell>
        </row>
        <row r="707">
          <cell r="B707" t="str">
            <v>10.3934/dcdss.2020428</v>
          </cell>
          <cell r="C707" t="str">
            <v>"&lt;p style='text-indent:20px;'&gt;The principal aim of the present article is to study a mathematical pattern of interacting phytoplankton species. The considered model involves a fractional derivative which enjoys a nonlocal and nonsingular kernel. We first show that the problem has a solution, then the proof of the uniqueness is included by means of the fixed point theory. The numerical solution of the mathematical model is also obtained by employing an efficient numerical scheme. From numerical simulations, one can see that this is a very efficient method and provides precise and outstanding results.&lt;/p&gt;"</v>
          </cell>
          <cell r="E707" t="str">
            <v>MATHEMATICS, APPLIED</v>
          </cell>
          <cell r="F707" t="str">
            <v>fractional order model,phytoplankton species,fixed-point theorem,numerical scheme,Fractional derivative</v>
          </cell>
          <cell r="H707" t="str">
            <v>Q2</v>
          </cell>
        </row>
        <row r="708">
          <cell r="B708" t="str">
            <v>10.3934/dcdss.2021011</v>
          </cell>
          <cell r="C708" t="str">
            <v>"&lt;p style='text-indent:20px;'&gt;In this research article, the techniques for computing an analytical solution of 2D fuzzy wave equation with some affecting term of force has been provided. Such type of achievement for the aforesaid solution is obtained by applying the notions of a Caputo non-integer derivative in the vague or uncertainty form. At the first attempt the fuzzy natural transform is applied for obtaining the series solution. Secondly the homotopy perturbation (HPM) technique is used, for the analysis of the proposed result by comparing the co-efficient of homotopy parameter &lt;inline-formula&gt;&lt;tex-math id=\"M1\"&gt;\\begin{document}$ q $\\end{document}&lt;/tex-math&gt;&lt;/inline-formula&gt; to get hierarchy of equation of different order for &lt;inline-formula&gt;&lt;tex-math id=\"M2\"&gt;\\begin{document}$ q $\\end{document}&lt;/tex-math&gt;&lt;/inline-formula&gt;. For this purpose, some new results about Natural transform of an arbitrary derivative under uncertainty are established, for the first time in the literature. The solution has been assumed in term of infinite series, which break the problem to a small number of equations, for the respective investigation. The required results are then determined in a series solution form which goes rapidly towards the analytical result. The solution has two parts or branches in fuzzy form, one is lower branch and the other is upper branch. To illustrate the ability of the considered approach, we have proved some test problems.&lt;/p&gt;"</v>
          </cell>
          <cell r="E708" t="str">
            <v>MATHEMATICS, APPLIED</v>
          </cell>
          <cell r="F708" t="str">
            <v>fuzzy number,ho-motopy perturbation method,natural transform,Two dimensional fuzzy fractional wave equation</v>
          </cell>
          <cell r="H708" t="str">
            <v>Q2</v>
          </cell>
        </row>
        <row r="709">
          <cell r="B709" t="str">
            <v>10.3934/dcdss.2021117</v>
          </cell>
          <cell r="C709" t="str">
            <v>"&lt;p style='text-indent:20px;'&gt;Now-a-days, uncertainty conditions play an important role in modelling of real-world problems. In this regard, the aim of this study is two folded. Firstly, the concept of system of interval differential equations and its solution procedure in the parametric approach have been proposed. To serve this purpose, using parametric representation of interval and its arithmetic, system of linear interval differential equations is converted to the system of differential equations in parametric form. Then, a mixing problem with three liquids is considered and the mixing process is governed by system of interval differential equations. Thereafter, the mixing liquid is used in the production process of a manufacturing firm. Secondly, using this concept, a production inventory model for single item has been developed by employing mixture of liquids and the proposed production system is formulated mathematically by using system of interval differential equations.The corresponding interval valued average profit of the proposed model has been obtained in parametric form and it is maximized by centre-radius optimization technique. Then to validate the proposed model, two numerical examples have been solved using MATHEMATICA software. In addition, we have shown the concavity of the objective function graphically using the code of 3D plot in MATHEMATICA. Finally, the post optimality analyses are carried out with respect to different system parameters.&lt;/p&gt;"</v>
          </cell>
          <cell r="E709" t="str">
            <v>MATHEMATICS, APPLIED</v>
          </cell>
          <cell r="F709" t="str">
            <v>Parametric approach,interval number,system of interval linear dif-ferential equation,mixing problem,production inventory</v>
          </cell>
          <cell r="H709" t="str">
            <v>Q2</v>
          </cell>
        </row>
        <row r="710">
          <cell r="B710" t="str">
            <v>10.3934/ipi.2022014</v>
          </cell>
          <cell r="C710" t="str">
            <v>"&lt;p style='text-indent:20px;'&gt;In this paper, we design a novel variational segmentation method for two types of segmentation problems, namely, global segmentation (all objects /features in a given image are aimed to be segmented) and selective/ interactive segmentation (an objects /feature of interest in a given image is aimed to be segmented) for inhomogeneous and severe additive noisy images. The proposed segmentation models implement a local denoising constraint, capable to tackle efficiently noise/outliers and coping with intensity inhomogeneity issues, combined with local similarity factor based on spatial distances and intensity differences in the local region that guides accurately the level set function to distinguish between outliers and minute important details. Furthermore, to exhibit the accuracy of the proposed models, an experimental comparison is inducted and shown comparisons with state-of-art models on synthetic images, outdoor images, and medical images.&lt;/p&gt;"</v>
          </cell>
          <cell r="E710" t="str">
            <v>MATHEMATICS, APPLIED|PHYSICS, MATHEMATICAL</v>
          </cell>
          <cell r="F710" t="str">
            <v>Local spatial distance,local intensity difference,level set method,partial differential equations,calculus of variations,image segmentation,selective segmentation</v>
          </cell>
          <cell r="H710" t="str">
            <v>Q3</v>
          </cell>
        </row>
        <row r="711">
          <cell r="B711" t="str">
            <v>10.4000/remmm.20144</v>
          </cell>
          <cell r="C711" t="str">
            <v>"In schools in Turkey, school shows are common activities. However, there is no official school program regarding the content or preparation of these shows. In this respect, it is seen that the teachersâ€™ preferences become decisive in the making of school shows. Based on a qualitative study conducted in Istanbul, including an ethnography in a costume shop, in-depth interviews with public primary school teachers and observations of shows, this article focuses on the ways through which school shows become tools for transmitting nationalist values to children in the absence of an official curriculum. Such an absence gives teachers flexibility in their decision-making processes regarding the content of the shows. Thus, they tend to justify their decisions by the shows becoming tools of a nationalist education. With the help of school shows, children are transmitted nationalist values by their teachers in either a Kemalist or a culturalist way."</v>
          </cell>
          <cell r="E711" t="str">
            <v>AREA STUDIES</v>
          </cell>
          <cell r="F711" t="str">
            <v>nationalist education,socialization,school shows in Turkey,Kemalist trend,culturalist trend</v>
          </cell>
          <cell r="H711" t="str">
            <v>Q4</v>
          </cell>
        </row>
        <row r="712">
          <cell r="B712" t="str">
            <v>10.4012/dmj.2020-279</v>
          </cell>
          <cell r="C712" t="str">
            <v>"This study aimed to evaluate the Cirrus high-definition (HD) spectral-domain optical coherence tomography (SD-OCT) for the remineralization of artificial enamel caries and to compare it with the comparison surface microhardness (SMH) analysis. Artificial caries lesions were produced on forty human enamel samples. Then, three different remineralization agents containing casein phosphopeptide amorphous calcium phosphate; casein phosphopeptide amorphous calcium fluoride phosphate; calcium glycerophosphate, magnesium chloride, and xylitol; and remineralization solution (control) were applied with pH cycling for six days. The optical depth of backscattered light and microhardness of enamel were measured using SD-OCT and SMH. All remineralization agents were significantly efficient in reducing optical lesion depth on enamels (p1=0.001, p2=0.002, p3=0.006, p4=0.025), and in increasing the SMH of enamels (p1-3=0.005, p4=0.017). However, the optical lesion depths of the enamel showed no correlation with the SMH in the groups. In conclusion, demineralization and remineralization of artificial lesions can be assessed with both SD-OCT and SMH."</v>
          </cell>
          <cell r="E712" t="str">
            <v>DENTISTRY, ORAL SURGERY &amp; MEDICINE|MATERIALS SCIENCE, BIOMATERIALS</v>
          </cell>
          <cell r="F712" t="str">
            <v>Artificial caries lesion,Demineralization,Optical coherence tomography,Remineralization,Surface microhardness</v>
          </cell>
          <cell r="H712" t="str">
            <v>Q4</v>
          </cell>
        </row>
        <row r="713">
          <cell r="B713" t="str">
            <v>10.4018/IJCALLT.301194</v>
          </cell>
          <cell r="C713" t="str">
            <v>"In 2020, video conferencing went from a novelty to a necessity, and its usage skyrocketed due to shelter-in-place throughout the world. However, there is a scarcity of academic research on the psychological effects and mechanisms of video conferencing, and scholars need tools to understand this drastically scaled usage. Therefore, the purpose of this study is to understand EFL teachersâ€™ expectations and needs for video conferencing tools. 578 English as a foreign language education teachers who live in Turkey participated in this study. Mixed-methods research was used to analyze the survey results. The findings of this study can be used to guide the selection of appropriate videoconferencing systems for educational purposes. They also provide information on how to investigate teaching methods and pedagogies for online education. This study also includes a series of suggestions for how to improve videoconferencing tools."</v>
          </cell>
          <cell r="E713" t="str">
            <v>EDUCATION &amp; EDUCATIONAL RESEARCH</v>
          </cell>
          <cell r="F713" t="str">
            <v>EFL,ELT,Language Teacher Education,Learning Management Systems,Video Conferencing Tools</v>
          </cell>
          <cell r="H713" t="str">
            <v>Q3</v>
          </cell>
        </row>
        <row r="714">
          <cell r="B714" t="str">
            <v>10.4018/IJMBL.2021070105</v>
          </cell>
          <cell r="C714" t="str">
            <v>"The use of computers and electronic devices for recreational reading and for reading in educational settings has gone up significantly in recent years. Whereas the digital revolution is rapidly changing the world, it is also changing education. This study examined the perceptions of secondary school EFL learners in Turkey of their e-reading experiences based on their gamified electronic reading practices in school and their influence on reading comprehension performance in an EFL class. The findings revealed that the implementation of e-book reading resulted in higher comprehension levels and more positive reading attitudes. Participant students showed a preference for printed books rather than electronic books for leisure due to the sense of ownership that the printed text storybooks offered. However, the results indicate that EFL learners' use of screen reading has the potential to improve students' attitudes towards reading in educational settings."</v>
          </cell>
          <cell r="E714" t="str">
            <v>EDUCATION &amp; EDUCATIONAL RESEARCH</v>
          </cell>
          <cell r="F714" t="str">
            <v>EFL,Electronic Reading,Gamification,Gamified E-Reading,Reading Attitude</v>
          </cell>
          <cell r="H714" t="str">
            <v>Q3</v>
          </cell>
        </row>
        <row r="715">
          <cell r="B715" t="str">
            <v>10.4081/aiua.2023.11114</v>
          </cell>
          <cell r="C715" t="str">
            <v>"\n\n\n\nIntroduction: To analyze the dose-dependent preventive effect of a plant-based herbal product on the new crystal formation in a rat model.\nMaterials and methods: A total of 42 rats were divided into 7 groups and zinc discs were placed into the bladder of rats to provide a nidus for the development of new crystal formation: Group 1: control, Group 2: 0.75 percent ethylene glycol (EG); Group 3: 0.75 percent EG plus 0.051 ml of the compound; Group 4: 0.75 percent EG plus 0.179 ml of the compound; Group 5: 0.75 percent EG plus 0.217 ml of the compound; Group 6: 0.75 percent EG plus 0.255 ml of the compound; Group 7 0.75 percent EG plus 0.332 of the compound).\nThe analysis and comparison focused on the disc weights, changes in urinary oxalate and calcium levels, urinary pH, and the histopathologic evaluation of the inflammatory changes in the bladder after 14 days.\nResults: According to the evaluation of discs placed in the bladders of the animals, animals receiving the herbal compound on a dose-dependent basis showed a limited increase in the disc weights values after 14 days, despite a considerable increase in animals receiving EG alone (p = 0.001). Further evaluation of the increase in disc weights on a dose-dependent basis in different subgroups (from Groups 3 to 7) demonstrated that the limitation of crystal deposition began to be more prominent as the dose of herbal compound increased. This effect was more evident particularly in comparisons between group 7 and others, according to LSD multiple comparison tests (p = 0.001).\nAs anticipated, there has been no discernible change in the weight of the discs in the control group. Although urinary calcium levels in animals of Groups 2, 6, and 7 were significantly higher than the other groups, we were not able to demonstrate a close correlation between urinary oxalate levels and the increasing dose levels. Even though mean urine pH levels were statistically considerably higher in Group 3, there was no statistically significant correlation between the oxalate and calcium levels between all groups, and no association was seen with the administration of herbal agents. The transitional epithelium between the three groups of animals' bladder samples did not exhibit any appreciable difference according to pathological analysis.\n\n\n\n\nConclusions: In this animal model, the treatment of the compound was successful in lowering the amount of crystal deposition surrounding the zinc discs, most noticeably at a dosage of 0.332 ml, three times per day.\n\n\n\n\n\n\n\n"</v>
          </cell>
          <cell r="E715" t="str">
            <v>UROLOGY &amp; NEPHROLOGY</v>
          </cell>
          <cell r="F715" t="str">
            <v>Herbal compound,Rat model,Crystal formation</v>
          </cell>
          <cell r="H715" t="str">
            <v>Q3</v>
          </cell>
        </row>
        <row r="716">
          <cell r="B716" t="str">
            <v>10.4103/0028-3886.329568</v>
          </cell>
          <cell r="C716" t="str">
            <v>"BehÃ§et's disease is a multisystem inflammatory disease that manifests with oralâ€“genital ulcers, skin lesions, arthritis, and ophthalmologic and neurovascular findings. Neurological involvement of BehÃ§et's disease is called neuro-BehÃ§et's disease, and it is a difficult entity to diagnose because of insufficient symptoms. We present a 26-year-old male patient with complaints of headache, dizziness, and drop foot in the right lower extremity. He underwent gross total tumor resection with the preliminary diagnosis of low-grade glioma, according to the preoperative magnetic resonance imaging. Histopathological examination and further investigation revealed an interesting neuro-BehÃ§et's disease case because of the localization and clinical occurrence of the lesion."</v>
          </cell>
          <cell r="E716" t="str">
            <v>NEUROSCIENCES</v>
          </cell>
          <cell r="F716" t="str">
            <v>Behcet's disease,low-grade glioma,neuro-Behcet's disease</v>
          </cell>
          <cell r="H716" t="str">
            <v>Q4</v>
          </cell>
        </row>
        <row r="717">
          <cell r="B717" t="str">
            <v>10.4103/0028-3886.344646</v>
          </cell>
          <cell r="C717" t="str">
            <v>"\nBackground:\nDopamine deficiency causes Parkinson's disease (PD), and on treatment, levodopa is the gold standard. Various drug-metabolizing enzymes and drug receptors are believed to be involved in prompting dyskinesias due to the extended usage of levodopa. Shreds of evidence in genomic studies have presented that ADORA2A receptor antagonism has beneficial outcomes to avoid these drug-induced side effects.\n\n\nObjective:\nThe aim of this study was to study the polymorphisms of rs2298383, rs35060421, and rs5751876 in the ADORA2A in patients diagnosed as PD and describe their possible relationships with levodopa-induced dyskinesias (LID).\n\n\nMethods:\nOne-hundred and seventy-two patients were recruited and separated as the study and the control group. DNA was achieved from peripheral venous blood, high resolution melting analysis, and reverse-transcriptase PCR was performed.\n\n\nResults:\nThe allele differences among the groups were not statistically significant. Although it was not statistically significant, the rs35060421 allele was observed to repeat more frequently. However, we did not find an association between such polymorphisms of ADORA2A and LID.\n\n\nConclusions:\nAlthough this result showed that a higher sample number might produce different results as possible, current results in the Turkish sample indicated that these alleles of ADORA2A might not be related to LID in patients.\n"</v>
          </cell>
          <cell r="E717" t="str">
            <v>NEUROSCIENCES</v>
          </cell>
          <cell r="F717" t="str">
            <v>ADORA2A,genetics,levodopa,levodopa-induced dyskinesia,motor complications,neurogenetics,Parkinson's disease,polymorphism</v>
          </cell>
          <cell r="H717" t="str">
            <v>Q4</v>
          </cell>
        </row>
        <row r="718">
          <cell r="B718" t="str">
            <v>10.4103/atr.atr_85_20</v>
          </cell>
          <cell r="C718" t="str">
            <v>"Langerhans cell histiocytosis (LCH) is a rare medical condition which is defined by abnormal accumulation of a heterogeneous population of Langerhans cells that form nodules in certain tissues such as the skin, bone, and lungs. When the lungs are involved, the disease is called pulmonary LCH (PLCH). It is well established that PLCH is frequently observed in young adult smokers with equal gender distribution. Despite the clear role of smoking in PLCH pathogenesis, being a smoker rarely induces the disease, suggesting that host-related factors, inhaled antigens, or other stress-related factors may contribute to the pathogenesis. Here, we reported two cases of PLCH which both presented after chest trauma. Based on the findings from both the cases, it is concluded that the overstimulated inflammatory response in the posttraumatic lungs might be the responsible etiology resulting in the LCH if the lungs are already damaged and more sensitive due to smoking. We suggest that the differential diagnosis of PLCH should be especially considered in young adults with sudden or insidious onset of symptoms following chest trauma."</v>
          </cell>
          <cell r="E718" t="str">
            <v>ORTHOPEDICS</v>
          </cell>
          <cell r="F718" t="str">
            <v>Interstitial lung disease,Langerhans cell histiocytosis,pulmonary,trauma</v>
          </cell>
          <cell r="H718" t="str">
            <v>Q4</v>
          </cell>
        </row>
        <row r="719">
          <cell r="B719" t="str">
            <v>10.4103/ijd.IJD_781_20</v>
          </cell>
          <cell r="C719" t="str">
            <v>"\nBackground:\nAcne is becoming more prevalent in adults, particularly women across the globe. Although previous studies have compared clinical and epidemiologic characteristics of adolescent and adult acne, an adequate understanding of the quality of life (QoL) of adult acne patients and associated comorbidities are still lacking.\n\n\nObjectives:\nWe sought to compare the differences between adolescent and adult patient groups, regarding gender, socio-clinico-demographic factors, and comorbid associations, as well as their relatedness with life quality.\n\n\nMethods:\nThis is a cross-sectional study with 1013 acne patients. Data on the severity, onset and location of acne, sex, family history of acne, smoking and alcohol habits, medication history, presence of seborrhea, and other comorbidities were collected. We employed the classification used by the American Academy of Dermatology for assessing acne severity. To assess the QoL in the patients, the Dermatology Life Quality Index (DLQI) score was used.\n\n\nResults:\nOf the 1013 patients included in this study; 380 (female: 333, male: 47) were adult, and 633 (female: 535 and male: 98) were adolescent cases. The median total DLQI scores of adult and adolescent groups were not significantly different. Our results showed that factors such as age, gender, duration, body mass index, family history, and psychiatric disorders exhibited no impact on QoL in both adolescents and adults. Age of onset was correlated with DLQI scores in the adult group. The main influencers of DLQI in the adult group were allergic disorders, hormonal imbalances, and previous treatment history. Besides, major influencers in adolescent patients were acne severity, acne location, hirsutism, hyperseborrhea, premenstrual exacerbation, menstrual irregularities, previous treatment history, and smoking.\n\n\nConclusions:\nThe findings of our current study have shown that DLQI has been influenced by different factors in adolescents and adults that should be kept in mind.\n"</v>
          </cell>
          <cell r="E719" t="str">
            <v>DERMATOLOGY</v>
          </cell>
          <cell r="F719" t="str">
            <v>Acne vulgaris,quality of life,adult acne</v>
          </cell>
          <cell r="H719" t="str">
            <v>Q4</v>
          </cell>
        </row>
        <row r="720">
          <cell r="B720" t="str">
            <v>10.4103/ijd.ijd_31_21</v>
          </cell>
          <cell r="C720" t="str">
            <v>"\nBackground:\nMelatonin is a hormone that regulates the sleepâ€“wake cycle and has immunomodulatory and anti-inflammatory roles.\n\n\nAims:\nThe aim of this study is to assess melatonin levels and investigate the association with pruritus severity, sleep quality, and depressive symptoms in dermatoses with nocturnal pruritus.\n\n\nMethods:\nThe study was a prospective study with 82 participants, including 41 patients and 41 healthy volunteers. The visual analog scale (VAS), Pittsburg Sleep Quality Index (PSQI), and Beck Depression Inventory (BDI) were recorded for each patient. To assess the melatonin levels, urinary 6-sulfatoxymelatonin levels in the first urine in the morning were measured.\n\n\nResults:\nMelatonin concentrations were significantly lower (P = 0.007), while the BDI (P = 0.001) and PSQI (P = 0.001) scores were significantly higher in the patients with pruritus than in the healthy control subjects. There was an inverse correlation between melatonin levels and PSQI scores (r = âˆ’0.355, P = 0.023), and a positive correlation was detected between BDI scores and PSQI scores (r = 0.631, P = 0.001) in the pruritus group.\n\n\nConclusion:\nMelatonin levels were found to decrease in relation to sleep quality in nocturnal pruritus patients. Low melatonin levels in these patients may be associated with sleep disorders and pruritus.\n"</v>
          </cell>
          <cell r="E720" t="str">
            <v>DERMATOLOGY</v>
          </cell>
          <cell r="F720" t="str">
            <v>BDI,depression,melatonin,nocturnal pruritus,prurigo nodularis,PSQI,sleep quality</v>
          </cell>
          <cell r="H720" t="str">
            <v>Q4</v>
          </cell>
        </row>
        <row r="721">
          <cell r="B721" t="str">
            <v>10.4103/jasi.jasi_194_20</v>
          </cell>
          <cell r="C721" t="str">
            <v>"\nIntroduction:\nThe retromolar canal (RMC) is an anatomical variation of the posterior part of the mandibular canal. It is thought that this variation is related to histological vestiges of the gubernacular canal and RMC presence may be associated with mandibular third molar (MTM) malposition. This study aims to investigate the relationship between MTM position and RMC existence.\n\n\nMaterial and Methods:\nPatients who had undergone cone-beam computed tomography examination for various purposes were included in the study. All of the patients had unilateral or bilateral MTM teeth. MTM impaction patterns were classified according to Winter and Pell-Gregory classifications. RMC existence, type, retromolar foramen (RMF) position, RMF dimensions, and distance from RMF to second and third molars were recorded. Results: Three hundred and forty-six retromolar areas with MTM of 244 patients were evaluated. RMCs were present in 11.5% of the patients. No statistically significant relationship between RMC and MTM impaction patterns was observed. A1-type RMC was found to be the most prevalent. The mean distance from RMF to the third molar was 6.09 Â± 4.20 mm and was found to be higher in male patients. The mean distance from RMF to the second molar was 15.28 Â± 4.73 mm. The average dimensions of the RMF were 1.4 Â± 0.47 mm.\n\n\nDiscussion and Conclusion:\nRMC is a relatively common anatomical variation of the mandibular canal. Although no correlation was observed between MTM impaction pattern and RMC existence, further research including more samples may be helpful to explain a possible correlation.\n"</v>
          </cell>
          <cell r="E721" t="str">
            <v>ANATOMY &amp; MORPHOLOGY</v>
          </cell>
          <cell r="F721" t="str">
            <v>Impaction,mandibular third molar,retromolar canal,retromolar foramen</v>
          </cell>
          <cell r="H721" t="str">
            <v>Q4</v>
          </cell>
        </row>
        <row r="722">
          <cell r="B722" t="str">
            <v>10.4103/jcrt.jcrt_708_21</v>
          </cell>
          <cell r="C722" t="str">
            <v>"ABSTRACT\n\nBackground:\nTwo fundamental challenges in the current therapeutic approach for central nervous system tumors are the tumor heterogeneity and the absence of specific treatments and biomarkers that selectively target the tumor tissue. Therefore, we aimed to investigate the potential relationship between discoidin domain receptor 1 (DDR1) expression and the prognosis and characteristics of glioma patients.\n\n\nMaterials and Methods:\nTissue and serum samples from 34 brain tumor patients were evaluated for DDR1 messenger ribonucleic acid levels in comparison to 10 samples from the control group, and Kaplanâ€“Meier survival analysis has performed.\n\n\nResults:\nDDR1 expression was observed in both tissue and serum samples of the patient and control groups. DDR1 expression levels in tissue and serum samples from patients were higher in comparison to the control group, although not statistically significant (P &gt; 0.05). A significant correlation between tumor size and DDR1 serum measurements at the level of 0.370 was reported (r = 0.370; P = 0.034). The levels of DDR1 in serum showed a positive correlation with the increasing size of tumor. The results of the 5-year survival analysis depending on the DDR1 tissue levels showed a significantly higher survival rate (P = 0.041) for patients who have DDR1 tissue levels above cutoff value.\n\n\nConclusions:\nDDR1 expression was significantly higher among brain tumor tissues and serum samples and its levels showed a positive correlation with the increased size of tumor. This study can be a starting point, since it investigated and indicated, for the first time, that DDR1 can be a novel therapeutic and prognostic target for aggressive high-grade gliomas.\n"</v>
          </cell>
          <cell r="E722" t="str">
            <v>ONCOLOGY</v>
          </cell>
          <cell r="F722" t="str">
            <v>Biomarker,brain tumors,discoidin domain receptor,high-grade gliomas</v>
          </cell>
          <cell r="H722" t="str">
            <v>Q4</v>
          </cell>
        </row>
        <row r="723">
          <cell r="B723" t="str">
            <v>10.4103/njcp.njcp_2042_21</v>
          </cell>
          <cell r="C723" t="str">
            <v>"\nAim and Background:\nBecause of there is no sufficient evidence showing a relationship between blood types and severity of severe acute respiratory syndrome coronavirus 2 (SARS-CoV-2) infection, this study was planned to investigate the effects of ABO blood group on the clinical outcomes of SARS-CoV-2 infection.\n\n\nPatients and Methods:\nThe data of the patients were examined retrospectively. The patients who were hospitalized in wards or intensive care unit, constituted the study group. The patients who presented to the hospital because of other causes and whose blood type examinations were performed, were included in the control group.\n\n\nResults:\nThe study group consisted of 406 six patients were diagnosed with SARS-CoV-2 infection. Control group consisted of 38079 patients whose blood group was determined for any reason in the same period. The rate of Rh negativity was significantly higher in the patient group (p = 0,01). Hospitalization duration in intensive care was significantly longer in the blood type A and AB groups compared to the blood type O group (p = 0,03).\n\n\nConclusion:\nOur results are in agreement with other studies suggesting that blood group O individuals are somewhat more resistant to clinically overt infection with SARS-CoV-2 than other blood groups. In addition, Rh negativity may also be an individual risk factor for SARS-CoV-2 infection.\n"</v>
          </cell>
          <cell r="E723" t="str">
            <v>MEDICINE, GENERAL &amp; INTERNAL</v>
          </cell>
          <cell r="F723" t="str">
            <v>Blood groups,COVID-19,outcome,SARS-CoV-2,severity</v>
          </cell>
          <cell r="H723" t="str">
            <v>Q4</v>
          </cell>
        </row>
        <row r="724">
          <cell r="B724" t="str">
            <v>10.4103/njcp.njcp_574_19</v>
          </cell>
          <cell r="C724" t="str">
            <v>"ABSTRACT\n\nObjective:\nOur aim was to compare the efficacy of two triggering method one with dual triggering with gonadotropin-realising hormon (GnRH) agonist plus standard dosage human chorionic gonadotropin (hCG) and the other with hCG only for final oocyte maturation on oocyte/follicle ratio and pregnancy rates in normoresponders in GnRH antagonist cycles in invitro fertilization-intrastoplasmic sperm injection (IVF-ICSI).\n\n\nMaterial Methods:\nIn this retrospective study, all patients underwent GnRH antagonist protocol. When at least â‰¥3 follicles reached â‰¥17 mm diameter, 116 patients received dual trigger with GnRH agonist plus hCG (1mg Leuprolide acetate plus 10.000 IU uhCG) and 178 patients received uhCG (10.000 IU u hCG) for final oocyte maturation. All follicles â‰¥10 mm diameter were aspirated. Number of oocytes and metaphase II oocytes retrieved per aspirated follicles, implantation rate, and clinical pregnancy rate per cycle was recorded.\n\n\nResults:\nThere was no statistically significant difference in terms of metaphase II oocyte ratio per aspirated follicle, implantation rate and clinical pregnancy rate between the dual trigger group and hCG only group (45.7% vs. 51%; 35.4% vs.30.3% and 45%vs. 40% respectively). Oocyte/ follicle ratio was significantly higher in dual trigger group (68.2%vs 63.8% p=0,028).\n\n\nConclusions:\nDual triggering in normal responders with a GnRH-agonist and a standard dosage of hCG is superior to hCG only protocol in terms of oocyte/follicle ratio but does not improve metaphase II oocyte, implantation and clinical pregnancy rates in GnRH-antagonist cycles. Dual triggering method may be beneficial in patients with immature oocytes and emty follicle syndrome.\n"</v>
          </cell>
          <cell r="E724" t="str">
            <v>MEDICINE, GENERAL &amp; INTERNAL</v>
          </cell>
          <cell r="F724" t="str">
            <v>Dual trigger,in vitro fertilization,ovarian hyperstimulation,oocyte-follicle ratio</v>
          </cell>
          <cell r="H724" t="str">
            <v>Q4</v>
          </cell>
        </row>
        <row r="725">
          <cell r="B725" t="str">
            <v>10.4103/njcp.njcp_615_19</v>
          </cell>
          <cell r="C725" t="str">
            <v>"ABSTRACT\n\nBackground:\nMethicillin-resistant Staphylococcus aureus (MRSA) has been a widespread problem in Turkish hospitals.\n\n\nAims:\nThe aim of this study was to investigate the staphylococcal toxin genes of the clinical and nasal MRSA isolates, and their antibiotic resistance profiles.\n\n\nMaterials and Methods:\nIsolation of nasal and clinical bacteria was done following standard microbiological methods. The presence of antimicrobial resistance genes (mec A, pvl, tsst-1, and SEs genes) was determined using the real-time polymerase chain reaction (PCR) assay.\n\n\nResults:\nAmong nasal MRSA isolates, 66.7% were toxigenic. The distribution of genes was as follows: pvl 26.7%, tsst-1 3.3%, and SEs 36.7%. Therefore, the nasal MRSA isolates had a rate of 23.3% multidrug resistance (MDR) pattern to the non-beta-lactams antibiotics. All (100%) clinical MRSA isolates were found to be toxigenic. The distribution of genes was as follows; pvl 10%, tsst-1 6.7%, and SEs 100%. The clinical MRSA isolates had a rate of 60% MDR.\n\n\nConclusions:\nFollowing detection of pvl, tsst-1, and SEs among nasal and clinical MRSA isolates, and the presence of high antimicrobial resistance, the spread of these strains may be an additional factor contributing to the emergence of community-acquired (CA)-MRSA and hospital-acquired (HA)-MRSA. This study is the first to determine the resistance to linezolid and tigecycline in both nasal and clinical MRSA isolates, for the first time in Turkey. All nasal and clinical MRSA isolates were uniformly susceptible to vancomycin and quinupristin-dalfopristin. Our findings show that MRSA infections in Turkey can be empirically treated with vancomycin and quinupristin-dalfopristin based on the lack of demonstrable resistance to these drugs.\n"</v>
          </cell>
          <cell r="E725" t="str">
            <v>MEDICINE, GENERAL &amp; INTERNAL</v>
          </cell>
          <cell r="F725" t="str">
            <v>Antimicrobial resistance,mecA,MRSA,pvl,SEs,tsst-1</v>
          </cell>
          <cell r="H725" t="str">
            <v>Q4</v>
          </cell>
        </row>
        <row r="726">
          <cell r="B726" t="str">
            <v>10.4103/tjps.tjps_98_19</v>
          </cell>
          <cell r="C726" t="str">
            <v>"\n\nScleroderma is an autoimmune disorder characterized by hardening of the skin on the hands, arms, and face. Immunosuppressors, vasodilators, and physiotherapy are among the treatments for scleroderma. Although these treatments can improve quality of life, the treatment response in locally affected areas may be poor. At present, there is no specific treatment for localized fibrotic skin lesions in scleroderma, although stem cell treatment shows promise for local symptoms. We describe the case of a patient with facial skin symptoms of scleroderma treated with platelet-rich plasma combined with fat grafts rich in stem cells.\n"</v>
          </cell>
          <cell r="E726" t="str">
            <v>SURGERY</v>
          </cell>
          <cell r="F726" t="str">
            <v>Fat graft,platelet-rich plasma,scleroderma</v>
          </cell>
          <cell r="H726" t="str">
            <v>Q4</v>
          </cell>
        </row>
        <row r="727">
          <cell r="B727" t="str">
            <v>10.4271/02-15-04-0021</v>
          </cell>
          <cell r="C727" t="str">
            <v>"The outbreak of COVID-19 pandemic in the beginning of 2020 has made it necessary to review many practices in countless areas, changing our lifestyles drastically. Humanity has put health issues in priority to deal with the disease effectively. While health systems are having difficult times in terms of patient care, vaccination, and treatment protocols, existing designs in many areas have proven to be inefficient in preventing or decelerating the pandemic. As the disease is transmitted mainly by particle transfer through coughing, sneezing, and even with speaking, wearing face masks and keeping a distance of 2 m as well as hygiene (especially hand) are shown to be effective methods. However, long exposure to indoor air populated with people is still a major risk due to the possibility of high concentration of virus-contaminated air. Ventilation systems in general must be redesigned, not only in terms of filtering capabilities, but reestablishing the air streams taking place during the ventilation as well. In modern buses as well as passenger aircrafts, ventilation air is blown from a narrow outlet/diffuser to guarantee a laminar flow for passenger comfort. The air is then returned to the central ventilation system through a large grille that is mostly located in the rear part of the bus. The objective of this numerical study is to visualize the air streams within a bus due to ventilation. Examining the flow visualization shows that the exhaled air from the infected passengers in the front seats can easily be conveyed along the bus, making it possible to be inhaled by healthy persons in other seats, posing a high health risk. Therefore, it is suggested that the air not be returned to the central ventilation system through a rear grille, but instead longitudinal grilles parallel to supply outlets providing a stream perpendicular to longitudinal axis of bus, thus reducing the risk of contaminated air being inhaled by other passengers. Â© 2022 SAE International. All rights reserved."</v>
          </cell>
          <cell r="E727" t="str">
            <v>TRANSPORTATION SCIENCE &amp; TECHNOLOGY</v>
          </cell>
          <cell r="F727" t="str">
            <v>COVID-19 Airborne,pathogens Vehicle,ventilation systems,Computational fluid,dynamics simulation</v>
          </cell>
          <cell r="H727" t="str">
            <v>Q4</v>
          </cell>
        </row>
        <row r="728">
          <cell r="B728" t="str">
            <v>10.4274/BMJ.galenos.2022.2022.1-5</v>
          </cell>
          <cell r="C728" t="str">
            <v>"Can Isokinetic Testing Lead to More Precise Monitoring of Chondromalacia Patella? Prospective, Cross-sectional Study - Medical Journal of Bakirkoy"</v>
          </cell>
          <cell r="E728" t="str">
            <v>MEDICINE, GENERAL &amp; INTERNAL</v>
          </cell>
          <cell r="F728" t="str">
            <v>Chondromalacia patella,muscle strength,the dynamometer,isokinetic testing,physical therapy and rehabilitation</v>
          </cell>
          <cell r="H728" t="str">
            <v>Q4</v>
          </cell>
        </row>
        <row r="729">
          <cell r="B729" t="str">
            <v>10.4274/haseki.galenos.2021.6506</v>
          </cell>
          <cell r="C729" t="str">
            <v>"Aim:The purpose of this study is to evaluate the hemostatic efficacy of a novel plant originated blood stopper which is called Algan Hemostatic Agent (AHA) in uncontrolled kidney incision bleeding model.Methods:The study was conducted with thirty-two rats 5-7 weeks old. The rats were randomly divided into 4 groups, each consisting of eight rats (Group 1: heparinized saline, 2: heparinized AHA, 3: non-heparinized saline, 4: non-heparinized AHA). Experimental kidney incision was made, and saline soaked sponge was applied to the control group and AHA to the study group.Results:The duration of bleeding was significantly shorter in the AHA group compared to the control group. The AHA has controlled the bleeding in the heparinized and non-heparinized groups 5Â±1.19 and 3Â±0.91 seconds respectively (p&lt;0.001). In the control group, hemorrhage was controlled in the heparinized and non-heparinized group 180.6Â±25.4 and 125.4Â±21 seconds respectively.Conclusion:This study demonstrated that the AHA is useful in controlling bleeding in the Rat kidney incision model."</v>
          </cell>
          <cell r="E729" t="str">
            <v>MEDICINE, GENERAL &amp; INTERNAL</v>
          </cell>
          <cell r="F729" t="str">
            <v>Algan hemostatic agent,hemostasis,rats,kidney,bleeding</v>
          </cell>
          <cell r="H729" t="str">
            <v>Q1</v>
          </cell>
        </row>
        <row r="730">
          <cell r="B730" t="str">
            <v>10.4274/haseki.galenos.2022.8019</v>
          </cell>
          <cell r="C730" t="str">
            <v>"Aim: There is a need to understand autosomal dominant polycystic kidney disease (ADPKD) patientsâ€™ dietary habits since dietary interventions may have potential effects on ADPKD. In this study, we aimed to analyze the relationship between dietary nutrient intake and total kidney volume (TKV). Methods: This cross-sectional study was conducted on 54 ADPKD patients recruited from the Nephrology outpatient clinic between June and July 2014. TKV was determined by magnetic-resonance imaging and general characteristics, biochemical and urinary parameters were determined. The nutrient intakes of patients were calculated using the three-day dietary records obtained on three consecutive days. Results: The total kidney-volume median was found to be 1407 mL. Patientsâ€™ total dietary energy and protein intakes were 25.8Â±9.4 kcal/kg, 0.9Â±0.3 g/kg, respectively. The percentage of carbohydrates, protein, and fat in energy was 49Â±7%, 14Â±3%, 37Â±7%, respectively. The mean intakes of thiamin, riboflavin, B6, calcium, magnesium, and zinc were sufficient, the mean dietary potassium intake was insufficient; and sodium intake was excessive in both sexes. In females, there was a negative but weak correlation between dietary vitamin C intake and TKV. In males, a negative but weak correlation was found between TKV and dietary intake of fiber, water, vitamin B6, vitamin K, magnesium, and iron. Conclusions: Dietary micronutrient intake may affect TKV according to sex."</v>
          </cell>
          <cell r="E730" t="str">
            <v>MEDICINE, GENERAL &amp; INTERNAL</v>
          </cell>
          <cell r="F730" t="str">
            <v>Autosomal dominant polycystic kidney,ADPKD,kidney,nutrition,diet therapy,dietary intakes</v>
          </cell>
          <cell r="H730" t="str">
            <v>Q1</v>
          </cell>
        </row>
        <row r="731">
          <cell r="B731" t="str">
            <v>10.4274/haseki.galenos.2022.8665</v>
          </cell>
          <cell r="C731" t="str">
            <v>"Aim:Few studies have analyzed the possible association between parietal foramen (PF), sagittal suture (SS), and lambdoid suture (LS). The relationship between the SS, LS, and PF might play a role in identifying various ethnicities or essential in surgery. The study examined the location, type, incidence, diameter of PF, and the relationship between SS and LS in Turkish adult dry skulls.Methods:A cross-sectional morphological and morphometrical study of PF was conducted with one hundred and sixty-six Turkish adult dry skulls in 2018-2020. The numbers, frequency, diameters, and types of PF were measured by a digital caliper. For morphometric analyses, the shortest distances between PF-SS, median PF (MPF), Lamba, and PF-LS were measured.Results:The incidence of PF was 74.6% (right) and 74.7% (left). The incidence of PF was 63.3 in males, it was 36.7 in females. Bilateral PF was found in 74.65%, and unilateral PF was present in 55.75% of Turkish dry skulls. The MPF was found on the SS in 33.7% of the skull. The PF-LS was 39.88Â±1.99 mm (2.91-104.11 mm) on the left side and 40.69Â±1.67 mm (6.03-101.24 mm) on the right side. The PF-SS was 12.87Â±1.25 mm (0.26-85.03 mm) on the left side and it was 11.95Â±1.21 mm (0.40-83.36 mm) on the right side (p=0.01).Conclusion:The significant differences in the PF-SS on the left side according to sex should be considered in surgery. Other findings of the study are the presence of more than one PF and its asymmetric distribution in the skull. This might be due to the delayed ossification process or differences in ethnicity."</v>
          </cell>
          <cell r="E731" t="str">
            <v>MEDICINE, GENERAL &amp; INTERNAL</v>
          </cell>
          <cell r="F731" t="str">
            <v>Parietal foramen,suture,incidence,ossification,ethnicity</v>
          </cell>
          <cell r="H731" t="str">
            <v>Q1</v>
          </cell>
        </row>
        <row r="732">
          <cell r="B732" t="str">
            <v>10.4274/haseki.galenos.2022.8668</v>
          </cell>
          <cell r="C732" t="str">
            <v>"Aim:The scoring system of the hematopoietic cell transplantation comorbidity index (HCT-CI) was used in patients with multiple myeloma (MM) undergoing autologous stem cell transplantation (ASCT), and it could predict progress-free survival and overall survival. Our study aims to determine the ideal cut-off value for the HCT-CI score, which can be effective in showing overall survival in patients with MM undergoing ASCT.Methods:The files of all MM patients with ASCT between January 2015 and December 2020 were retrospectively scanned. The X-tile model was used to determine the cut-off values of the HCT-CI score. Survival probabilities were calculated using the Kaplan-Meier estimator. The Cox proportional hazard regression model was used for univariate and multivariate analyses.Results:Patients were divided into two categories according to HCT-CI. Score â‰¤6 was defined as low-risk (n=93, 81.6%), and score &gt;6 was defined as high-risk (n=21, 18.4%). The low-risk group had one-year and two-year OS rates of 96.7% and 86.9%, respectively, while the high-risk group had rates of 69.9% and 40.3% (p&lt;0.001). In multivariate regression analysis, only being older than 70 years and having a HCT-CI &gt;6 were found to be significant, with an HR of 3,718 and 5,543, respectively.Conclusion:Hematopoietic stem cell transplantation - comorbidity index score &gt;6 can aid physicians in deciding whether to perform ASCT in MM patients and predict the overall survival of those patients."</v>
          </cell>
          <cell r="E732" t="str">
            <v>MEDICINE, GENERAL &amp; INTERNAL</v>
          </cell>
          <cell r="F732" t="str">
            <v>Multiple myeloma,autologous stem cell transplantation,hematopoietic stem cell transplantation - comorbidity index,survival</v>
          </cell>
          <cell r="H732" t="str">
            <v>Q1</v>
          </cell>
        </row>
        <row r="733">
          <cell r="B733" t="str">
            <v>10.4274/haseki.galenos.2023.9518</v>
          </cell>
          <cell r="C733" t="str">
            <v>"Retroperitoneal hydatid cysts are extremely rare and difficult to distinguish from other intra-abdominal pathologies, such as synovial sarcoma. In this study, we present a rare case of a complicated retroperitoneal hydatid cyst originating from the psoas muscle without any other focus. A 59-year-old male patient presented to the outpatient clinic with complaints of constipation and a feeling of gradually increasing swelling in the left lower quadrant of the abdomen and left groin area, progressing toward the left leg. In the examinations performed, a multiloculated giant hydatid cyst that filled the left pelvis in the retroperitoneal region, deviated the intra-abdominal organs to the right side, and extended to the left femoral and inguinal canals was detected. The patient underwent surgical excision and was followed up during the postoperative period. No evidence of recurrence was found at the patientâ€™s 3 rd and 6 th month follow-ups. Primary muscle hydatid cysts necessitate a distinct approach to treatment and management when compared with hydatid cysts in other bodily organs. While recurrences remain a potential concern after resection, it is noteworthy that the window for the formation of fertile cysts typically spans up to 10 months. Thus, it is advisable to conduct regular postoperative follow-up examinations during the first year following surgery to ensure comprehensive monitoring and care."</v>
          </cell>
          <cell r="E733" t="str">
            <v>MEDICINE, GENERAL &amp; INTERNAL</v>
          </cell>
          <cell r="F733" t="str">
            <v>Echinococcosis,cysts,psoas muscles,pelvis,retroperiton,bone</v>
          </cell>
          <cell r="H733" t="str">
            <v>Q1</v>
          </cell>
        </row>
        <row r="734">
          <cell r="B734" t="str">
            <v>10.4274/jcrpe.galenos.2020.2019.0213</v>
          </cell>
          <cell r="C734" t="str">
            <v>"Insulin receptor (INSR) mutations lead to heterogeneous disorders that may be as severe as Donohue syndrome or as mild as â€œtype A insulin resistance syndromeâ€. Patients with severe disorders usually harbor homozygous or compound heterozygous mutations. In contrast, type A insulin resistance syndrome has been associated with heterozygous mutations; homozygous mutations are rarely responsible for this condition. We report a novel, homozygous mutation, p.Leu260Arg in exon 3, of the INSR gene in a female adolescent patient with type A insulin resistance syndrome together with clinical details of her medical follow-up. Different mutations in the INSR gene cause different phenotype and vary depending on the inheritance pattern. This report adds to the literature, increases understanding of the disease mechanism and aids in genetic counseling."</v>
          </cell>
          <cell r="E734" t="str">
            <v>ENDOCRINOLOGY &amp; METABOLISM|PEDIATRICS</v>
          </cell>
          <cell r="F734" t="str">
            <v>Hirsutism,insulin resistance,insulin receptor gene</v>
          </cell>
          <cell r="H734" t="str">
            <v>Q4</v>
          </cell>
        </row>
        <row r="735">
          <cell r="B735" t="str">
            <v>10.4274/jpr.galenos.2022.82608</v>
          </cell>
          <cell r="C735" t="str">
            <v>"Aim: In hematopoietic stem cell transplantation (HSCT), the phase of engraftment which can be described as an â€œimmunogenic stormâ€, is also vulnerable to infections and it has been always very hard to discriminate the cause of fever in this special period of HSCT. In this study, we aim to determine if procalcitonin (PCT) could be used to define the cause of fever in the engraftment phase of HSCT. Materials and Methods: This study involves 81 patients who consecutively underwent allogeneic HSCT between October 2017-June 2020 in our pediatric HSCT unit. The patients were divided into two groups due to the origin of the fever during engraftment as infectious fever group (n=42) and the non-infectious fever group (n=39). Results: The median duration of fever for all groups was 4 days (1-11 days) and it was significantly lower in the non-infectious fever group compared to the infectious fever group (3 vs. 4 respectively p=0.001). The median PCT levels was 0.6 ng/mL (0.04-83) for all groups and it was significantly higher in the infectious fever group compared to non-infectious (1.4 vs. 0.3 p&lt;0.001). According to ROC analysis, the cut-off PCT level of 0.515 ng/mL or more had an AUC of 0.817 and may predict the infectious fever with a sensitivity of 81% and a specificity of 76.9%. Conclusion: We observed that PCT may be used to discriminate infectious fever from non-infectious fever at the engraftment phase of HSCT and PCT could be a useful marker for antibiotic treatment strategy."</v>
          </cell>
          <cell r="E735" t="str">
            <v>PEDIATRICS</v>
          </cell>
          <cell r="F735" t="str">
            <v>Engraftment,hematopoetic stem cell transplantation,procalcitonin</v>
          </cell>
          <cell r="H735" t="str">
            <v>Q4</v>
          </cell>
        </row>
        <row r="736">
          <cell r="B736" t="str">
            <v>10.4274/jtgga.galenos.2020.2020.0055</v>
          </cell>
          <cell r="C736" t="str">
            <v>"Vulvar cancer is rare. The vulva constitutes the external female genitalia and it is associated with the perineum with the intersection of urinary, sexual and anal systems. The deep anatomy of the perineum in the urogenital and anogenital triangle should be well-known to gynecological oncologists. Radical vulvectomy is the surgical treatment of choice in gross tumors expanding over the vulvar skin. After this type of excision, reconstruction is critically important because it is not always feasible to suture the vulvar defect in a primary manner. Thus, the reconstruction options should also be known to gynecological oncologists. Here, we present a video of radical vulvar cancer surgery, which was performed on a cadaver with gluteal and medial thigh V-Y advancement flap reconstruction."</v>
          </cell>
          <cell r="E736" t="str">
            <v>OBSTETRICS &amp; GYNECOLOGY</v>
          </cell>
          <cell r="F736" t="str">
            <v>Vulvar cancer,flap,vulvectomy,perineum,cadaveric</v>
          </cell>
          <cell r="H736" t="str">
            <v>Q3</v>
          </cell>
        </row>
        <row r="737">
          <cell r="B737" t="str">
            <v>10.4274/jtsm.galenos.2021.79663</v>
          </cell>
          <cell r="C737" t="str">
            <v>"Objective:Tissue hypoxia results in an increased erythrocyte distribution width (EDW) and secondary ocular complications in obstructive sleep apnea syndrome (OSAS). Thus, this study aimed to investigate the correlation between EDW and central corneal thickness (CCT) in patients with varying OSAS severities.Materials and Methods:This study included 70 patients with OSAS (23 mild, 22 moderate, and 25 severe cases) and 30 healthy participants. EDW was measured using an automated blood cell counter. CCTs were measured by spectral-domain optic coherence tomography.Results:The EDW values were significantly higher in patients with severe OSAS than with moderate (p=0.042) and mild (p=0.015) OSAS. Additionally, EDW values were significantly higher in the control group than in patients with mild (p=0.011) and moderate OSAS (p=0.038). The control group and the patient group did not significantly differ in the mean CCT values (p=0.45/p=0.14). No statistically significant correlation was found between EDW and CCT values in the control group (r=-0.22, p=0.25) or patient group (r=-0.1, p=0.63). The correlations between RDW and apnea-hypopnea index (r=0.334, p=0.001) and minimal oxygen saturation (r=-0.29, p=0.004) were statistically significant.Conclusion:Our study revealed that EDW was higher in patients with OSAS than control group. Therefore, EDW can be used as an important diagnostic tool for the early diagnosis of atherosclerosis risk in patients with OSAS. The required metabolic activity for the sustainability of corneal transparency is thought to be affected by hypoxia in OSAS."</v>
          </cell>
          <cell r="E737" t="str">
            <v>CLINICAL NEUROLOGY</v>
          </cell>
          <cell r="F737" t="str">
            <v>Obstructive sleep apnea syndrome,erythrocyte distribution width,central corneal thickness</v>
          </cell>
          <cell r="H737" t="str">
            <v>Q4</v>
          </cell>
        </row>
        <row r="738">
          <cell r="B738" t="str">
            <v>10.4274/mirt.galenos.2020.51422</v>
          </cell>
          <cell r="C738" t="str">
            <v>"A 34-year-old male patient who had left orchiectomy and received three cycles of chemotherapy for testicular mix germ cell carcinoma was referred for 18fluorine-fluorodeoxyglucose (18F-FDG) positron emission tomography/computed tomography (PET/CT) for complaints of weight loss and fever. PET/CT showed multiple and progressive 18F-FDG uptakes in supra and infra diaphragmatic lymphatic regions, and multiple abnormal 18F-FDG uptakes were noted in the lytic formed skeletal lesions. Clinicians remain in doubt regarding the multiple metastatic lesions without elevated serum tumor marker levels (alpha-fetoprotein, beta-human chorionic gonadotrophin, CA19-9, and carcinoembryonic antigen). Biopsy of the lytic lesion in the iliac bone revealed granulomatous inflammation suggestive of sarcoidosis. Systemic prednisone at 20-40 mg/daily was started. 18F-FDG PET/CT images showed complete metabolic response to prednisone 8 months following the start of treatment."</v>
          </cell>
          <cell r="E738" t="str">
            <v>RADIOLOGY, NUCLEAR MEDICINE &amp; MEDICAL IMAGING</v>
          </cell>
          <cell r="F738" t="str">
            <v>Systemic sarcoidosis,testis carcinoma,F-18-FDG PET/CT</v>
          </cell>
          <cell r="H738" t="str">
            <v>Q4</v>
          </cell>
        </row>
        <row r="739">
          <cell r="B739" t="str">
            <v>10.4274/mjima.galenos.2022.2022.36</v>
          </cell>
          <cell r="C739" t="str">
            <v>"Crimean-Congo hemorrhagic fever (CCHF) is an acute viral disease with fever and bleeding caused by a tick-borne virus belonging to the Bunyaviridae family. Coronavirus disease-2019 (COVID-19) is a novel disease caused by Severe Acute Respiratory Syndrome Coronavirus Type 2, which can lead to acute respiratory distress syndrome (ARDS). Here, we present a case with CCHF and COVID-19 co-infection to draw attention to the increased mortality in co-infection cases. A 77-year-old female patient with known hypertension was admitted to the emergency department with complaints of fever, nausea, vomiting, diarrhea, and myalgia for two days. There was no history of tick bite or contact with a patient with COVID-19. Current anamnesis and clinical and laboratory findings pre-diagnose the patient with CCHF, hemolytic uremic syndrome, and thrombotic thrombocytopenic purpura, leading to a ward admission. Crimean-Congo hemorrhagic fever was diagnosed after receiving a positive CCHF immunoglobulin M (indirect fluorescent antibody) result. A nasopharyngeal swab sample for COVID-19 real-time polymerase time reaction was sent due to a continuous fever and the development of shortness of breath on day three of hospitalization, which revealed positive results;thus, the patient was started on favipiravir treatment. The patient was transferred to the intensive care unit on day four due to increased oxygen demand and ARDS diagnosis. The patient died due to respiratory failure on the seventh day of hospitalization. COVID-19-related ARDS that overlapped on top of CCHF caused her to develop a cytokine storm and died despite her clinical parameter improvement due to CCHF. Crimean-Congo hemorrhagic fever and COVID-19 symptoms or findings can be confused because of their similarities, but the possibility of being seen together should not be overlooked. Concurrently, some similarities in the pathogenesis of these two diseases suggest that co-infection may worsen the clinical course;hence, new studies are needed on this subject."</v>
          </cell>
          <cell r="E739" t="str">
            <v>INFECTIOUS DISEASES</v>
          </cell>
          <cell r="F739" t="str">
            <v>COVID-19,Crimean-Congo hemorrhagic fever,coinfections</v>
          </cell>
          <cell r="H739" t="str">
            <v>Q4</v>
          </cell>
        </row>
        <row r="740">
          <cell r="B740" t="str">
            <v>10.4274/tjo.galenos.2020.28924</v>
          </cell>
          <cell r="C740" t="str">
            <v>"Objectives: We aimed to evaluate the efficacy of periocular intense pulsed light (IPL) therapy in the treatment of moderate to severe acute blepharitis or blepharoconjunctivitis. Materials and Methods: This was a retrospective study performed in one institution. Eleven patients who received bilateral periocular IPL therapy using an IPL device (E&gt;Eye, ESwin, Paris, France) were retrospectively evaluated. The following findings obtained at baseline and 10 weeks after the treatment were recorded: slit-lamp examinations; symptom scores of the Compression of the Eyelid (COTE) grading system and Ocular Surface Disease Index (OSDI); ocular surface staining with Oxford grading scale (OXFORD) scores; lipid layer thickness (LLT); and non-invasive tear meniscus test (TMH), non-invasive break up time measurement (NIBUT), and meibography performed by using I.C.P. Ocular Surface Analyzer (SBM System, Turin, Italy). Results: Significant improvements in OSDI symptom scores (p&lt;0.0001), LLT (p&lt;0.0001), and meibography (p&lt;0.0001) were obtained at 10 weeks after bilateral periocular IPL therapy. COTE and ocular surface staining scores decreased by 59.72% and 57.14% respectively, while NIBUT and TMH increased by 47.34% and 22.16%, respectively. In parallel to the improvement in OSDI, LLT, and meibography, findings of acute blepharitis or blepharoconjunctivitis improved in slit-lamp examination. There were no adverse effects. Conclusion: Serial IPL therapy improves the clinical signs and symptoms of moderate to severe acute blepharitis or blepharoconjunctivitis, meibomian gland morphology, and secretion quality."</v>
          </cell>
          <cell r="E740" t="str">
            <v>OPHTHALMOLOGY</v>
          </cell>
          <cell r="F740" t="str">
            <v>Blepharitis,blepharoconjunctivitis,intense pulsed light treatment,meibography</v>
          </cell>
          <cell r="H740" t="str">
            <v>Q1</v>
          </cell>
        </row>
        <row r="741">
          <cell r="B741" t="str">
            <v>10.4274/tjod.galenos.2021.85530</v>
          </cell>
          <cell r="C741" t="str">
            <v>"Presented herein is the only case in literature with the synchronous development of endometrioid-type endometrium cancer and endometrioid carcinoma originating from the endometriosis foci in a scar tissue. A 44-year-old female patient presented with complaints of abnormal uterine bleeding, swelling at the rectus muscle level in the abdominal wall, and cyclic pain close to the old cesarean section incision scar. Pathological findings of the rectus muscle and endometrial biopsies revealed endometrioid adenocarcinoma (grades 2 and 1, respectively). Positron emission tomography, performed for primary focus investigation, revealed pathologic fluorodeoxyglucose uptake in the uterine cavity and biopsy site, consistent with residual tumor without any pathologic uptake elsewhere. The patient underwent total abdominal hysterectomy, bilateral salpingo-oophorectomy, and systematic pelvic and para-aortic lymphadenectomy, and the residual tumor in the left rectus muscle was excised. The patient was followed up for 3 years. At a postoperative follow-up in the 4th year, no relapsed tumor or metastasis was seen on imaging."</v>
          </cell>
          <cell r="E741" t="str">
            <v>OBSTETRICS &amp; GYNECOLOGY</v>
          </cell>
          <cell r="F741" t="str">
            <v>Endometriosis,endometrioid adenocarcinoma,scar</v>
          </cell>
          <cell r="H741" t="str">
            <v>Q4</v>
          </cell>
        </row>
        <row r="742">
          <cell r="B742" t="str">
            <v>10.4274/tjod.galenos.2022.36937</v>
          </cell>
          <cell r="C742" t="str">
            <v>"Objective: To present coronavirus disease-2019 (COVID-19) related maternal mortality in relation to Delta and Omicron waves and to investigate the role of lung ultrasound (LUS) in estimating mortality. Materials and Methods: This retrospective cohort study was conducted in the obstetrics and gynecology clinic of a tertiary pandemic hospital between March 2020 and January 2022. The hospitalized pregnant women with COVID-19 diagnosis and maternal deaths were studied in relation with Delta and Omicron waves. The relationship between LUS scores of hospitalized patients and maternal mortality was explored. Results: Thousand and sixty-five pregnant women were hospitalized because of COVID-19 infection. Fifty-one (4.79%) of these patients had critical sickness, 96 (9.01%) of them had severe illness, 62 (5.82%) of them were admitted to the intensive care unit and 28 (2.63%) of all hospitalized pregnant women had died. Of the 1.065 patients, 783 (73.5%) were hospitalized before the Delta wave and the maternal mortality rate was 1.28% (10/783), 243 (22.8%) were hospitalized during the Delta wave and the maternal mortality rate was 7% (17/243) [relative risk (RR)=5.478, 95% confidence interval (CI) (2.54-11.8), z=4.342, p&lt;0.001]. During the Omicron wave 39 (3.66%) patients were hospitalized and the maternal mortality rate was 2.56% (1/39). Maternal mortality rates, according to LUS scores, were 0.37% (1/273) for LUS 0, 0.72% (2/277) for LUS 1, 2.58% (10/387) for LUS 2 and 11.72% (15/128) for LUS 3 respectively (LUS 3 vs. others; maternal mortality: RR=8.447, 95% CI (4.11-17.34), z=5.814, p&lt;0.0001). There were no vaccinated patients in the study cohort. Conclusion: The maternal mortality rate was relatively high, particularly during the Delta wave at our referral center. The Delta wave, delayed vaccination and vaccine hesitancy of pregnant women might have important roles in maternal mortality. Higher LUS scores should warn clinicians of an increased risk of maternal death."</v>
          </cell>
          <cell r="E742" t="str">
            <v>OBSTETRICS &amp; GYNECOLOGY</v>
          </cell>
          <cell r="F742" t="str">
            <v>Omicron,maternal mortality,lung ultrasound,Delta,COVID-19</v>
          </cell>
          <cell r="H742" t="str">
            <v>Q4</v>
          </cell>
        </row>
        <row r="743">
          <cell r="B743" t="str">
            <v>10.4274/tjod.galenos.2022.44845</v>
          </cell>
          <cell r="C743" t="str">
            <v>"Objective: To investigate the impact of laparoscopic ovarian drilling (LOD) on the expression of endometrial NFÎºB p65 (Rel A) in women with clomiphene-resistant polycystic ovary syndrome (PCOS). Materials and Methods: The study group comprised 25 normal-weight women with PCOS undergoing LOD and 14 control women without PCOS. Endometrial NF-ÎºB p65 levels evaluated before and after LOD following immunohistochemical staining. The semiquantitative method was used to evaluate the intensity of NF-ÎºB p65 levels. NF-ÎºB p65 was found to higher in the endometrium of patients with PCOS compared to controls. LOD leads to significant down-regulation in endometrial NF-ÎºB p65 expression. NF-ÎºB p65 expression of PCOS and fertile control were similar after LOD. After LOD, H-score values decreased approximately 3-fold. The H-score of the control subjects was lower than the preoperative and postoperative H-score values of the control women with ovarian cyst. Results: Expression of endometrial NF-ÎºB p65 did not change following ovarian cystectomy. The laterality of the ovarian cyst did not cause any change in preoperative H-score values. Conclusion: By downregulating the endometrial NF-ÎºB p65 expression LOD improved physiological inflammation in women with PCOS."</v>
          </cell>
          <cell r="E743" t="str">
            <v>OBSTETRICS &amp; GYNECOLOGY</v>
          </cell>
          <cell r="F743" t="str">
            <v>PCOS,ovarian drilling,clomiphene,nuclear factor kappa B,endometrial inflammation</v>
          </cell>
          <cell r="H743" t="str">
            <v>Q4</v>
          </cell>
        </row>
        <row r="744">
          <cell r="B744" t="str">
            <v>10.4274/tjod.galenos.2022.84883</v>
          </cell>
          <cell r="C744" t="str">
            <v>"Objective: To investigate the changes in serum ghrelin and leptin levels in patients with clomiphene-resistant polycystic ovary syndrome (PCOS). Materials and Methods: Thirty-five patients who could not achieve ovulation or pregnancy despite using 150 mg/day of clomiphene citrate (CC) participated in the study. Thirty-five patients who were compatible with the study group in terms of age and body mass index (BMI) but did not have clinical and laboratory findings of PCOS constituted the control group. On the third day of the cycle, in addition to the basal hormone profile, ghrelin and leptin levels were also measured. Patients in both groups went to IVF/ICSI. Basal hormone values, leptin, ghrelin, metabolic, demographic parameters, and clinical pregnancy rates were correlated. Results: Patients in both groups were recorded to be similar in terms of age (29.4Â±0.11 vs 28.5Â±7.30), BMI (24.3Â±3.07 vs 23.8Â±1.55), and infertility time (6.14Â±4.30 vs 6.03Â±1.28). Serum ghrelin levels of the PCOS group were significantly lower than the control group (0.48Â±2.21 vs 1.19Â±4.02) Serum leptin levels of the PCOS group were significantly higher than the control patients (45.6Â±304 vs 16.5Â±0.32). Serum leptin levels and BMI (r=0.65, p&lt;0.01) A positive correlation was found between luteinizing hormone (LH) (r=0.53, p&lt;0.02), and insulin resistance (r=0.74, p&lt;0.03). There was a negative (r=-0.76, p&lt;0.03) correlation between serum ghrelin and LH. A positive and significant correlation was found between serum ghrelin, testosterone, mature oocyte, and implantation rates. Conclusion: Serum ghrelin correlates with fertility outcomes in women with CC-resistant PCOS undergoing IVF/ICSI."</v>
          </cell>
          <cell r="E744" t="str">
            <v>OBSTETRICS &amp; GYNECOLOGY</v>
          </cell>
          <cell r="F744" t="str">
            <v>Clomiphene resistance,polycystic ovary syndrome,ghrelin,leptin,HOMA-IR,LH,fertility outcome</v>
          </cell>
          <cell r="H744" t="str">
            <v>Q4</v>
          </cell>
        </row>
        <row r="745">
          <cell r="B745" t="str">
            <v>10.4274/tjod.galenos.2023.66789</v>
          </cell>
          <cell r="C745" t="str">
            <v>"It is crucial to gain a better understanding of threatened and recurrent miscarriages, including the existing knowledge and unknowns, as well as to discuss medical approaches and assess the situation. These issues are outstanding problems, causing significant physical and emotional burdens on women and their families, not only in Turkey but also worldwide. This article aims to explore the topic of miscarriages, including the implications, challenges, and potential therapeutic approaches in Turkey. Nineteen statements were presented to 6 Turkish perinatologists and obstetricians and gynecologists to evaluate the management of threatened and recurrent miscarriage and to compare the results with literature recommendations in an expert opinion meeting. Turkish perinatologists and obstetricians &amp; gynecologists provided their responses using a 5-point Likert scale and discussed every statement. Progesterone use, particularly oral dydrogesterone, was supported by most of the experts. Opinions varied on the preference for dydrogesterone in recurrent miscarriage treatment. Experts unanimously agreed on the efficacy and safety of dydrogesterone and its recommendation in guidelines for threatened and recurrent miscarriage. Regarding progesterone therapy, vaginal progesterone was not associated with an increased rate of live births. Side effects of vaginal and oral micronized progesterone were acknowledged, and compliance with oral progesterone treatment was generally agreed upon. Dydrogesterone activity and effectiveness in threatened miscarriage received positive responses, while opinions on its effectiveness in recurrent miscarriage were divided. The loading dose of dydrogesterone and the practice of checking blood progesterone levels had different opinions among experts.This manuscript provides valuable insights in the management of threatened and recurrent miscarriages, highlighting the role of progesterone therapy, specifically dydrogesterone, and the need for adherence to relevant guidelines. Further research and a national Turkish guideline are warranted to address areas of uncertainty and optimize the management of these conditions."</v>
          </cell>
          <cell r="E745" t="str">
            <v>OBSTETRICS &amp; GYNECOLOGY</v>
          </cell>
          <cell r="F745" t="str">
            <v>Threatened miscarriage,recurrent miscarriage,progesterone,treatment,diagnosis</v>
          </cell>
          <cell r="H745" t="str">
            <v>Q4</v>
          </cell>
        </row>
        <row r="746">
          <cell r="B746" t="str">
            <v>10.4274/tnd.2020.80633</v>
          </cell>
          <cell r="C746" t="str">
            <v>"Objective: A functional single nucleotide polymorphism, rs1611115, in the dopamine Î²-hydroxylase (DBH) gene, is reported to regulate plasma enzyme activity levels. Here, we report the first evaluation of this association in patients with early-onset Parkinsonâ€™s disease (EOPD) and healthy controls in the Turkish population.\r\nMaterials and Methods: We evaluated the DBH rs1611115 polymorphism in 114 (64 male and 50 female) Turkish patients with EOPD and 58 sex- and agematched healthy controls from the Turkish population. A total of 27.2% (n=31) of our patients who had any variation including pathogenic or non-pathogenic missense, non-sense and/or intronic variation with unknown significance in EOPD genes were grouped as â€œvariation-positive EOPDâ€. A total of 50.8% (n=58) of our patients were grouped as â€œvariation and family history-negative EOPDâ€ and the possible contribution of the DBH rs1611115 polymorphism to EOPD pathogenesis was evaluated in this group.\r\nResults: There was no significant difference in the genotypic and allelic frequencies of DBH rs1611115 between patients with EOPD and controls. To our knowledge, this is the first evaluation of the DBH rs1611115 polymorphism in patients with EOPD and ethnically matched controls in the Turkish population.\r\nConclusion: Some previous studies have reported conflicting association results between DBH rs1611115 polymorphism and PD pathogenesis in different ethnic groups. Therefore, further studies are needed to evaluate dopamine metabolism-related genetic variants and to determine their possible roles in EOPD susceptibility in the Turkish population."</v>
          </cell>
          <cell r="E746" t="str">
            <v>CLINICAL NEUROLOGY</v>
          </cell>
          <cell r="F746" t="str">
            <v>Early-onset Parkinson's disease,dopamine beta-hydroxylase (DBH),polymorphism,Turkish population</v>
          </cell>
          <cell r="H746" t="str">
            <v>Q4</v>
          </cell>
        </row>
        <row r="747">
          <cell r="B747" t="str">
            <v>10.4274/tnd.2021.78026</v>
          </cell>
          <cell r="C747" t="str">
            <v>"Objective: Ketogenic diet may be effective in the treatment of neurological diseases such as epilepsy. Breath acetone measurement can be a practical method in the tracking of ketogenic diet treatment. This study aimed to determine the correlation between breath acetone levels and urinary ketone levels of adult individuals undergoing ketogenic diet therapy.\r\nMaterials and Methods: A total of 18 adults, which included 10 adults in the treatment group and 8 adults in the control group, were enrolled in the study. Ketogenic diet therapy was applied to the intervention group for 1 week. For 1 week, breath acetone measurements of both the treatment group and control group were taken every day at the same time on fasting. In all participants, urine ketones were measured at the same time every day.\r\nResults: Breath acetone and urine ketone values on days 3-5 were significantly higher in the treatment group than that in the control group. Positive correlations were found between breath acetone levels and urine ketone levels in the treatment group in all 7 days.\r\nConclusion: The breath acetone measurement method can be used practically and reliably for ketone monitoring in individuals undergoing ketogenic diet therapy."</v>
          </cell>
          <cell r="E747" t="str">
            <v>CLINICAL NEUROLOGY</v>
          </cell>
          <cell r="F747" t="str">
            <v>Breath acetone,ketone,ketogenic diet,nanotechnology</v>
          </cell>
          <cell r="H747" t="str">
            <v>Q4</v>
          </cell>
        </row>
        <row r="748">
          <cell r="B748" t="str">
            <v>10.4274/tnd.2022.27813</v>
          </cell>
          <cell r="C748" t="str">
            <v>"Objective: Caregivers of patients with Parkinson's disease (PD) experience increased levels of psychological distress. This study investigated the impact of caring for patients with PD on the psychiatric health status of the caregivers by using Symptom Checklist 90 Revised (SCL-90-R) and described the relationship between various socio-demographic and clinical characteristics and psychological distress of caregivers. Materials and Methods: The SCL-90-R self-reported questionnaire was administered to 60 caregivers of PD patients and 50 healthy controls. Sixty patients underwent different scales including unified PD rating scale, Hoehn &amp; Yahr scale, the Schwab-England activities of daily living scale and mini-mental state examination for the assessment of their motor and non-motor symptoms. Sleep disturbances in patients were assessed using the PD sleep scale and Epworth sleepiness scale. Results: All caregivers were family members. They got higher scores from the anxiety (ANX) of the SCL-90-R than the control group. Of the caregivers, 13 (22%) had a pathological score in the global severity index. Age and sleep scales scores significantly predicted psychological distress in interpersonal sensitivity, phobic ANX, psychoticism and obsessive - compulsive symptoms, ANX, depression and additional items dimensions in caregivers. Disease severity and other clinical findings did not affect psychological distress in caregivers. Conclusion: Our findings suggest that caregivers of patients with PD who are family members have higher ANX level as psychological distress. Sleep symptoms of patients with PD affect distress level of caregivers of patients with PD."</v>
          </cell>
          <cell r="E748" t="str">
            <v>CLINICAL NEUROLOGY</v>
          </cell>
          <cell r="F748" t="str">
            <v>Parkinson's disease,caregivers,psychological distress,SCL-90-R</v>
          </cell>
          <cell r="H748" t="str">
            <v>Q4</v>
          </cell>
        </row>
        <row r="749">
          <cell r="B749" t="str">
            <v>10.4317/medoral.25964</v>
          </cell>
          <cell r="C749" t="str">
            <v>"Background The aim of this study was to evaluate the stress occurring in the fixation systems both developed in various geometric designs for this study and currently used in sagittal split ramus advancement osteotomy using finite element analysis. Material and Methods The finite element model that imitates three-dimensional sagittal split advancement osteotomy was fixed in 10 different miniplate fixation methods: one miniplate fixed with four monocortical screws in a horizontal and oblique pattern; four-hole two miniplates with eight monocortical screws; five-hole miniplate fixed with four monocortical and one bicortical screws; six-hole straight and curved miniplates fixed with six monocortical screws in different geometric designs. Unilateral masticatory muscle loads that have previously determined in the literature were applied to the model at the anatomical muscle attachment regions and the data obtained from finite element analysis and static linear analysis methods were recorded as Von mises, maximum principle and minimum principle stress values. Results It was observed from the results that maximum stress occurred in Group 1, which consisted of double backward T-shaped miniplate with 6-holes and, minimum stress occured in group 10, which mimiced hybrid system with one miniplate and four monocortical and one bicortical screws. Conclusions Based on our results, the stress on the miniplates changes according to the geometric designs and the stress on the miniplate decreases as the numbers of miniplates and bars increase. The hybrid miniplate may be preferred by the surgeon as it will be exposed to less stress in excessive mandibular advancements by using the advantages of both the miniplate and the bicortical screw. Key words:Sagittal split ramus osteotomy, biomechanics, miniplate, finite element analysis, fixation methods."</v>
          </cell>
          <cell r="E749" t="str">
            <v>DENTISTRY, ORAL SURGERY &amp; MEDICINE</v>
          </cell>
          <cell r="F749" t="str">
            <v>Sagittal split ramus osteotomy,biomechanics,miniplate,finite element analysis,fixation methods</v>
          </cell>
          <cell r="H749" t="str">
            <v>Q2</v>
          </cell>
        </row>
        <row r="750">
          <cell r="B750" t="str">
            <v>10.46327/msrjg.1.000000000000207</v>
          </cell>
          <cell r="C750" t="str">
            <v>"Background: Colorectal carcinoma (CRC) is the second most frequent cause of cancer-related death for both sexes. Clinical and pathological correlates of Kirsten rat sarcoma viral oncogene/neuroblastoma ras viral oncogene (KRAS/NRAS) mutant tumors are important for therapy response, especially in metastatic CRCs. The aim of this study is to determine the frequency of KRAS/NRAS mutations and investigate the clinicopathologic characteristics of KRAS/NRAS mutant and rat sarcoma (RAS)-wild type CRCs. Methods: Pathology archives were searched for CRCs between 2014 and 2015, retrospectively. We reevaluated tumor slides for Crohn-like infiltrate, tumor infiltrating lymphocytes, tumor budding, presence of mucinous component, and signet-ring cell morphology. Tumor grade, depth of invasion, lymph node metastases, distant metastases, lymphovascular and perineural invasion, polyp type, and DNA mismatch repair status were derived from their pathology reports. Formalin-fixed, paraffin-embedded tissues were examined for KRAS/NRAS mutation status. Mutation status and their clinicopathologic correlates were evaluated. Results: KRAS and NRAS mutations were detected in 43.6% and 10% of the CRCs, respectively. KRAS mutations were associated with multiple organ metastasis and CRCs with solid growth pattern did not harbor RAS mutations. Well differentiated CRCs were more common in NRAS mutant and RAS-wild type CRCs in comparison to RAS mutant tumors. NRAS mutant CRCs were more frequent in the left colon and rectum. Conclusion: In this study, we identified that KRAS mutations were associated with multiple organ metastasis and CRCs with solid growth pattern did not harbor RAS mutations. Also, NRAS mutant tumors were more common in the left colon and rectum concordant with the previous studies.\n\nKeywords: colorectal carcinoma, metastatic colorectal carcinoma, KRAS, NRAS"</v>
          </cell>
          <cell r="E750" t="str">
            <v>SURGERY</v>
          </cell>
          <cell r="F750" t="str">
            <v>Colorectal Carcinoma,Metastatic Colorectal Carcinoma,KRAS,NRAS,RAS</v>
          </cell>
          <cell r="H750" t="str">
            <v>Q4</v>
          </cell>
        </row>
        <row r="751">
          <cell r="B751" t="str">
            <v>10.46328/ijemst.1157</v>
          </cell>
          <cell r="C751" t="str">
            <v>"The aim of this research is to examine the effect of gamified STEM activities on 3rd and 4th grade studentsâ€™ intrinsic motivation, perception of problem-solving skills, and critical thinking disposition. In this mixed method study, problem solving skills perception scale, critical thinking disposition instrument and intrinsic motivation inventory formed the quantitative data, while, activity worksheets, field notes and student interviews, formed the qualitative data. After 8 weeks of implementation, quantitative data were analyzed and significant differences were found between pre-test and post-test results on studentsâ€™ critical thinking disposition level. Although it is not significant, the results showed that an increase was found in studentsâ€™ perception of problem-solving skills. Besides, studentsâ€™ intrinsic motivation levels were found high, as well as students stated that â€œgamified STEMâ€ activities help them learn and practice the content and they found the activities enjoyable, competitive, and exciting. Moreover, the rewards and badges that they won at the end of the activities were motivating."</v>
          </cell>
          <cell r="E751" t="str">
            <v>EDUCATION, SCIENTIFIC DISCIPLINES</v>
          </cell>
          <cell r="F751" t="str">
            <v>Gamification,Gamified STEM,Internal motivation,Engineering design,Problem solving perception</v>
          </cell>
          <cell r="H751" t="str">
            <v>Q3</v>
          </cell>
        </row>
        <row r="752">
          <cell r="B752" t="str">
            <v>10.46328/ijemst.1279</v>
          </cell>
          <cell r="C752" t="str">
            <v>"This research aimed to investigate and compare teachersâ€™ conceptualizations of their studentsâ€™ and their own outcomes of our earlySTEM program at the K4 level in two distinct roles: practitioners only and practitioners and program developers jointly. The study group included 66 teachers, 26 of whom had actively contributed to the development of the earlySTEM program. Teachers in both roles were supported by teacher guides, student books and workshops throughout the 8-month long academic year. Data was collected at the end of the academic year through an open-ended survey. The program developer teachers identified more student outcomes under more diverse categories while the practitioner teachers mainly concentrated on cognitive outcomes and limited their conceptualizations to the national curriculum. In addition, the program developer teachers valued their involvement in the program development process and expressed more diverse professional outcomes referring to different types of teacher knowledge."</v>
          </cell>
          <cell r="E752" t="str">
            <v>EDUCATION, SCIENTIFIC DISCIPLINES</v>
          </cell>
          <cell r="F752" t="str">
            <v>Teachers as curriculum,developers,Elementary STEM education,Teacher involvement,Student outcomes,earlySTEM program</v>
          </cell>
          <cell r="H752" t="str">
            <v>Q3</v>
          </cell>
        </row>
        <row r="753">
          <cell r="B753" t="str">
            <v>10.46743/2160-3715/2022.5131</v>
          </cell>
          <cell r="C753" t="str">
            <v>"In this methodological review, I explore how recent autoethnographic studies in the field of applied linguistics have used autoethnography as a research methodology. I examine 40 autoethnographies published in peer-reviewed journals between 2010 and 2020. The findings show that a large number of the researchers employed autoethnography as â€œan umbrella termâ€ without opting for a specific type of autoethnography. Second, a great majority of the autoethnographers diverted from traditional third-person academic prose, although most of them approached their stories with an analytic lens. Third, the absence or scarcity of (auto)biographical information decreased both the evocative and analytic qualities of autoethnographic studies. Lastly, the authors provided little or no justification of their methodological choices as to why they specifically opted for autoethnography rather than other qualitative methodologies. Likewise, most authors provided little or no explanation about their selection of data collection tools and procedures as well as their data analysis methods and strategies. In light of these findings, I suggest future autoethnographers familiarize themselves with the types, epistemological foundations, and methodological affordances of autoethnography so that they may find the most appropriate voice and affordances to tell their stories in their own way."</v>
          </cell>
          <cell r="E753" t="str">
            <v>SOCIAL SCIENCES, INTERDISCIPLINARY</v>
          </cell>
          <cell r="F753" t="str">
            <v>autoethnography,first-person voice,qualitative research,applied linguistics,collaborative autoethnography,duoethnography,methodological review</v>
          </cell>
          <cell r="H753" t="str">
            <v>Q2</v>
          </cell>
        </row>
        <row r="754">
          <cell r="B754" t="str">
            <v>10.46743/2160-3715/2022.5662</v>
          </cell>
          <cell r="C754" t="str">
            <v>"In this paper, I first discuss what autoethnography is elaborating on an autoethnographic spectrum. Then, I draw on several scholarsâ€™ understanding of what a â€œgoodâ€ autoethnography is and propose a list of suggestions to contribute to autoethnographyâ€™s conceptualization and operationalization in qualitative educational research in the future. Believing that a good autoethnography is the work of a scholar who aims for the witty hand of an artist and the sharp/critical mind of a social scientist, I suggest that a good autoethnography (a) creates a sense of transformation through a story of illumination, healing, understanding, and/or learning, (b) engages readers as a companion rather than passive audience through commonalities and particularities, (c) goes beyond personal confessions by mindfully offering autobiographical and background information, (d) uses appropriate tools and sources and explains why using them makes sense, (e) denaturalizes social issues by making invisible power dynamics visible, and (f) embraces the subjectivity of memory and interpretation. I explain each suggestion in more detail in subsections and provide some guiding questions for future autoethnographers to help them make mindful decisions before and during their autoethnographic endeavors."</v>
          </cell>
          <cell r="E754" t="str">
            <v>SOCIAL SCIENCES, INTERDISCIPLINARY</v>
          </cell>
          <cell r="F754" t="str">
            <v>autoethnography,evocative autoethnography,analytic autoethnography,crafting good autoethnography</v>
          </cell>
          <cell r="H754" t="str">
            <v>Q2</v>
          </cell>
        </row>
        <row r="755">
          <cell r="B755" t="str">
            <v>10.46743/2160-3715/2023.5855</v>
          </cell>
          <cell r="C755" t="str">
            <v>"The purpose of this study is to examine the views of teachers on the number and situation of women in STEM areas as well as ways to encourage female students to STEM areas. We carried out the study through basic qualitative research. The participants of the study included 39 teachers from Turkey, Italy, Spain, Greece, and Romania. For data collection, focus group interviews were carried out in each country. The collected data were analyzed through content analysis. The study yielded similar findings in almost all the countries showing that the number of women was not sufficient, and the participants mostly had negative views regarding the visibility of women, gender equality, and societal roles posed to women. We found that female students could be encouraged to STEM areas through the use of appropriate role models who carried some inborn and achieved traits."</v>
          </cell>
          <cell r="E755" t="str">
            <v>SOCIAL SCIENCES, INTERDISCIPLINARY</v>
          </cell>
          <cell r="F755" t="str">
            <v>STEM female students encouraging female students to STEM basic qualitative research</v>
          </cell>
          <cell r="H755" t="str">
            <v>Q2</v>
          </cell>
        </row>
        <row r="756">
          <cell r="B756" t="str">
            <v>10.47176/jafm.14.04.32281</v>
          </cell>
          <cell r="C756" t="str">
            <v>"Numerical simulations of the steady 2-D incompressible viscous flow in an arc-shaped cavity are presented. The Navierâ€“Stokes equations in streamfunction and vorticity formulation are solved numerically using a body fitted mesh obtained by a conformal mapping. Our numerical results reveal that the arc-shaped cavity flow has multiple steady solutions above a bifurcation Reynolds number when the arc length ratio is less than 1/2 ( r &lt;1/2). Multiple steady state solutions of the arc-shaped cavity flow with different arc length ratios ( r =2/5, 1/3, 1/4, 1/5 and 1/6) are presented at a variety of Reynolds numbers. Our results show that the bifurcation Reynolds number at which a second solution starts to exist changes as the arc length ratio of the arc-shaped cavity changes. Among the considered different arc length ratios ( r =2/5, 1/3, 1/4, 1/5 and 1/6), the minimum bifurcation Reynolds number occurs at 1/3 arc length ratio with Re =5164. Detailed results are presented."</v>
          </cell>
          <cell r="E756" t="str">
            <v>MECHANICS|THERMODYNAMICS</v>
          </cell>
          <cell r="F756" t="str">
            <v>Arc-shaped cavity flow,Multiple steady state solutions,Bifurcation Reynolds number,2-D incompressible viscous flow,Arc length ratio</v>
          </cell>
          <cell r="H756" t="str">
            <v>Q4</v>
          </cell>
        </row>
        <row r="757">
          <cell r="B757" t="str">
            <v>10.47750/pegegog.11.04.04</v>
          </cell>
          <cell r="C757" t="str">
            <v>"Internet and games can have some adverse effects if used unconsciously. Especially for gifted students, internet and games can be risky and result in addiction due to their cognitive and social characteristics. Since the game and internet addiction conduce to social problems as well. In this vein, the purpose of the study is to examine the internet and game addiction levels of gifted students and their school social behaviors in terms of certain socio-demographic variables. In addition, the relationship between computer addiction scale scores and school social behavior scale scores are also examined within the scope of the study. Descriptive correlational survey method is used in the study. The sample is comprised of 157 gifted students and 16 teachers of them. Convenient sampling was used in the study. In conclusion, internet and game addiction scores of the gifted boys in the study were higher than those of girls. On the other hand, in terms of school social behaviors, the findings showed that gifted girls achieved higher scores than boys. Additionally, it is also observed that gifted children aged 10 and over got higher scores from internet and game addiction while the School social behavior did not show a significant difference according to the age variable. As the internet and game addiction scores of the gifted children increased, their school social competence, weakened. On the other hand, it was seen that the increase in the gifted childrenâ€™s internet / game addiction led to an increase in their antisocial behaviors."</v>
          </cell>
          <cell r="E757" t="str">
            <v>EDUCATION &amp; EDUCATIONAL RESEARCH</v>
          </cell>
          <cell r="F757" t="str">
            <v>Gifted students,internet addiction,game addiction,social behavior,school social behavior</v>
          </cell>
          <cell r="H757" t="str">
            <v>Q3</v>
          </cell>
        </row>
        <row r="758">
          <cell r="B758" t="str">
            <v>10.48084/etasr.6401</v>
          </cell>
          <cell r="C758" t="str">
            <v>"Fraud remains a pervasive challenge within the banking industry, where financial institutions and their clients grapple with substantial annual losses. The proliferation of digital transactions and online banking has created new avenues for fraudsters to exploit vulnerabilities, leading to financial harm to unsuspecting victims. Consequently, the imperative to promptly and accurately detect fraudulent transactions has grown significantly, both as a safeguard against financial crimes and as a pillar of trust between customers and the banking sector. This paper introduces an innovative fraud detection model designed for bank payment transactions using advanced ensembling techniques. This study presents a comprehensive evaluation of an ensembling model conducted on the Bank Account Fraud (BAF) dataset. Through meticulous analysis, the performance of various base models and ensembling methods was assessed and compared, employing a variety of critical metrics including accuracy, precision, recall, and F1-score. The proposed ensemble model, referred to as \"Stacking,\" exhibited remarkable performance, attaining a commendable accuracy score of 0.98. This result reaffirmed its prowess as a comprehensive and balanced solution to the multifaceted challenges of fraud detection. This study has paramount implications for the banking industry, offering a robust and adaptable solution to deal with the increasing threats posed by financial fraud. Furthermore, it emphasizes the significance of precision-recall trade-offs in fraud detection and underscores the potential of ensemble methods, particularly the \"Stacking\" model, to fortify the resilience and efficacy of existing security systems."</v>
          </cell>
          <cell r="E758" t="str">
            <v>ENGINEERING, MULTIDISCIPLINARY</v>
          </cell>
          <cell r="F758" t="str">
            <v>cybersecurity,banking fraud,cyber scams,human vulnerability,social engineering,countermeasures</v>
          </cell>
          <cell r="H758" t="str">
            <v>Q1</v>
          </cell>
        </row>
        <row r="759">
          <cell r="B759" t="str">
            <v>10.5004/dwt.2021.26749</v>
          </cell>
          <cell r="C759" t="str">
            <v>"This study investigates novel multi-walled carbon nanotubes (MWCNTs) grown on agricultural waste, using loaded iron nanoparticles as catalyst templates and acetylene as carbon source through chemical vapor deposition under specific conditions, to wit: 550Â°C reaction temperature, 47 min reaction time, and 1 gas ratio. The specifications of MWCNTs are analyzed and characterized with the use of field-emission scanning electron microscopy, energy-dispersive X-ray spectroscopy, transmission electron microscopy, Fourier-transform infrared spectroscopy, X-ray diffraction, thermogravimetric analysis, Brunauerâ€“Emmettâ€“Teller surface area analysis, and zeta potential analysis. The results reveal that MWCNTs have high quality and unique morphologies. The removal and capacity of Al3+ are optimized through response surface methodology, whilst the adsorption kinetics results are well ascribed to the pseudo-second-order model, the isotherm data are effectively fitted using a Langmuir model. The maximum adsorption capacity is 393.52 mg/g. The results demonstrate that MWCNTs can be regarded as a new low-cost adsorbent in wastewater treatment for the removal of Al3+. Keyword: Carbon nanotubes; Chemical vapor deposition; Response surface methodology; Adsorption"</v>
          </cell>
          <cell r="E759" t="str">
            <v>ENGINEERING, CHEMICAL|WATER RESOURCES</v>
          </cell>
          <cell r="F759" t="str">
            <v>Carbon nanotubes,Chemical vapour deposition,Response surface methodology,Adsorption</v>
          </cell>
          <cell r="H759" t="str">
            <v>Q4</v>
          </cell>
        </row>
        <row r="760">
          <cell r="B760" t="str">
            <v>10.5114/ada.2021.108917</v>
          </cell>
          <cell r="C760" t="str">
            <v>"Introduction Inflammation, immune system disorders, Demodex infestation, neurovascular dysregulation and oxidative stress are thought to be contributory factors in the pathogenesis of rosacea. Aim To evaluate the presence of Demodex mites, the morphologic features of the nailfold capillaries, and the systemic oxidative stress status in patients with rosacea. Material and methods Thirty-one patients diagnosed with rosacea and 37 healthy age- and gender-matched subjects were included in this prospective case-control study. The presence of Demodex infestation, the findings of nailfold capillaroscopy (NFC), and the status of systemic oxidative stress measured by total oxidant capacity (TOC), total antioxidant capacity (TAC) and oxidative stress index (OSI) were evaluated. Results Demodex infestation rates were significantly higher in rosacea patients than in controls (p = 0.001). Increases in the diameters of the capillaries and the presence of avascular areas and crossing and abnormal structures were significantly more common in rosacea patients than in the healthy controls (p &lt; 0.01, p = 0.016, p = 0.02, p &lt; 0.001, respectively), and hairpin structures were significantly less common in rosacea patients than in the controls (p &lt; 0.001). The presence of crossing capillaries was positively correlated with higher TOC levels (p = 0.05), while abnormal structures were found to be correlated with lower levels of TAC (p = 0.045). Conclusions Oxidative status and NFC may play diagnostic and prognostic roles in rosacea, which should be confirmed by studies with larger sample sizes."</v>
          </cell>
          <cell r="E760" t="str">
            <v>ALLERGY|DERMATOLOGY</v>
          </cell>
          <cell r="F760" t="str">
            <v>Demodex,nailfold capillaroscopy,oxidative stress,rosacea</v>
          </cell>
          <cell r="H760" t="str">
            <v>Q4</v>
          </cell>
        </row>
        <row r="761">
          <cell r="B761" t="str">
            <v>10.5114/aic.2023.124082</v>
          </cell>
          <cell r="C761" t="str">
            <v>"Introduction Data on the change in mitral valve annulus diameter (MAD), and left atrial appendage (LAA) structure and function after transcatheter edge-to-edge repair (TEER) of the mitral valve in patients with secondary mitral regurgitation (MR) are lacking. Aim To evaluate the change in these parameters just after the clip insertion and its relationship with prognosis in the long term. Material and methods A total of 50 patients (age: 71.5 Â±11.3 years, 70% male) with moderate-to-severe or severe MR were included in the study. Transthoracic (TTE) and transoesophageal echocardiography (TEE) were performed before and after the procedure. Prognostic data were recorded with post-procedure telephone calls and follow-up visits. Results TEE performed during the procedure showed that LAA contraction and filling velocity significantly increased (p &lt; 0.001 for all). Systolic pulmonary artery pressure (SPAP), MAD, and LAA landing zone dimension significantly decreased (p &lt; 0.001 for all). There was only a significant correlation between the MAD before clip placement and the MAD change after clip placement (r = 0.6, p &lt; 0.001). During a mean follow-up period of 10.5 Â±8.9 months, no significant correlation was found between MAD change, LAA contraction and filling velocity change, and LAA landing zone dimension change and rehospitalization, stroke, mortality, and composite outcome. Conclusions The contraction and filling velocity of LAA, SPAP, MAD, and LAA landing zone dimension changed significantly immediately after the MitraClip procedure. Although these parameters are not related to composite outcome in our study, MAD, LAA diameter, and velocity need to be compared between successful and unsuccessful procedures to predict their clinical relevance."</v>
          </cell>
          <cell r="E761" t="str">
            <v>CARDIAC &amp; CARDIOVASCULAR SYSTEMS</v>
          </cell>
          <cell r="F761" t="str">
            <v>left atrial appendage,MitraClip,mitral regurgitation,mitral annulus</v>
          </cell>
          <cell r="H761" t="str">
            <v>Q4</v>
          </cell>
        </row>
        <row r="762">
          <cell r="B762" t="str">
            <v>10.5114/kitp.2022.122090</v>
          </cell>
          <cell r="C762" t="str">
            <v>"Introduction During the last few years, many modifications in risk stratification of all cardiac surgical patients have been reported based on EuroSCORE. Aim In this study we aimed to interpret copeptin and NT-proBNP levels in patients who had undergone coronary surgery with respect to EuroSCORE. Material and methods We investigated the correlation between pre-operative copeptin and NT-proBNP levels with respect to mortality and post-operative complications via EuroSCORE II in the 484 enrolled patients. In terms of analyzing mortality the first 30 days were taken into account and duration of hospital stay was considered for prognosis. The statistical significance of copeptin and NT-proBNP with respect to EuroSCORE II â‰¥ 2 was studied. Results The critical threshold levels of mortality for NT-proBNP was 1296 pg/ml and for copeptin was 116 pmol/l in patients whose EuroSCORE II â‰¥ 2. Mortality increases 9.04-fold in cases with EuroSCORE â‰¥ 2, 5.04-fold when NT-proBNP level is &gt; 1296 pg/ml. A dramatic outcome was observed in copeptin levels as mortality increased 138.17-fold when copeptin was &gt; 116 pmol/l. Conclusions Increased levels of copeptin and NT-proBNP negatively affect mortality and complication rates in isolated cardiac surgery patients."</v>
          </cell>
          <cell r="E762" t="str">
            <v>SURGERY</v>
          </cell>
          <cell r="F762" t="str">
            <v>cardiovascular disease,biomarkers,mortality,coronary heart disease</v>
          </cell>
          <cell r="H762" t="str">
            <v>Q4</v>
          </cell>
        </row>
        <row r="763">
          <cell r="B763" t="str">
            <v>10.5137/1019-5149.JTN.31665-20.2</v>
          </cell>
          <cell r="C763" t="str">
            <v>"AIM\nTo investigate the effects of electromagnetic waves (EMWs) from mobile phones (MPs) on rat brains of rats by morphological and biochemical analysis.\n\n\nMATERIAL AND METHODS\nEMW was applied for two hrs/day until birth in stand-by fetal and EMW fetal groups and postnatal 60th day in stand-by and EMW groups. The control group was not exposed to MP. On postnatal 60th day, brain malondialdehyde (MDA) and glutathione (GSH) levels were measured, and western blot analysis was performed to determine glial fibrillary acidic protein (GFAP) content. Hematoxylin and eosin staining and GFAP immunohistochemistry were applied. Trigeminal nerves were examined using the transmission electron microscope.\n\n\nRESULTS\nIn comparison to controls, rats exposed to MP in stand-by or talk modes had significantly increased neuronal damage in the cortex and hippocampus. Increased MDA levels in the EMW group and decreased GSH levels in the stand-by, EMW fetal and EMW groups were found compared with controls. Increased GFAP content in the EMW group and increased GFAP staining in the EMW fetal and EMW groups compared to controls were observed. EMW group had a significantly decreased number of myelinated axons than control animals.\n\n\nCONCLUSION\n1800 MHz EMWs (SAR=1.79 W/kg) exposure in the prenatal and early postnatal life may lead to trigeminal nerve damage in addition to oxidative stress-induced neuronal degeneration and astroglial activation in the rat brain. Effects seem to be mode related, being more detrimental in groups exposed to MP during talk mode."</v>
          </cell>
          <cell r="E763" t="str">
            <v>CLINICAL NEUROLOGY|SURGERY</v>
          </cell>
          <cell r="F763" t="str">
            <v>Cell phone,Electromagnetic wave,Trigeminal nerve,Rat,Oxidative stress</v>
          </cell>
          <cell r="H763" t="str">
            <v>Q4</v>
          </cell>
        </row>
        <row r="764">
          <cell r="B764" t="str">
            <v>10.5137/1019-5149.JTN.36058-21.1</v>
          </cell>
          <cell r="C764" t="str">
            <v>"AIM\nPregnancy- and lactation-related osteoporosis (PLRO) is a rare transient osteoporosis causing severe low back pain and morbidity in the last trimester of pregnancy and in the postpartum period. The etiology of PLRO is still unclear. We aimed to share our experience regarding management and follow-up of patients with PLRO who were effectively treated.\n\n\nMATERIAL AND METHODS\nIn this case series, we presented 10 patients who were diagnosed with PLRO and treated from January 2010 to December 2020. VAS scale and laboratory findings were evaluated. Spinal and extremity magnetic resonance imaging (MRI) was obtained for patients with spinal and extremity pains. Dual energy X-ray absorptiometry was used for the measurement of bone mineral density. Values assessed on dual energy X-ray absorptiometry were L1-L4 T score, L2-L4 T score and femoral neck T score.\n\n\nRESULTS\nIn the first-month follow-ups, all patients had meaningful pain relief and symptom resolution. The mean duration of pain control during the treatment period was 2.4 months. Two patients who continued breastfeeding were also the patients whose pain control was achieved at the latest. One patient required vertebroplasty surgery.\n\n\nCONCLUSION\nPatients with PLRO should be promptly treated and followed-up. Discontinuation of breastfeeding will provide rapid advantage and should be the first step of the management. Early diagnosis and treatment of Calcium and Vitamin D with conservative procedures with spinal braces are very important for the treatment of PLRO patients. Additionally, bisphosphonates or teriparatide can improved the bone mineral density in patients with PLRO."</v>
          </cell>
          <cell r="E764" t="str">
            <v>CLINICAL NEUROLOGY|SURGERY</v>
          </cell>
          <cell r="F764" t="str">
            <v>Pregnancy,Osteoporosis,Vertebroplasty,Lactation,Fracture</v>
          </cell>
          <cell r="H764" t="str">
            <v>Q4</v>
          </cell>
        </row>
        <row r="765">
          <cell r="B765" t="str">
            <v>10.5152/AnatolJCardiol.2021.67927</v>
          </cell>
          <cell r="C765" t="str">
            <v>"OBJECTIVE\nThe recommended treatment for hypertension (HTN) in children has been revised recently. This study aimed to present the changes in target organ damage (TOD) and arterial stiffness parameters after treatment in children with primary HTN who were managed in accordance with the 2016 European Society of Hypertension Guidelines.\n\n\nMETHODS\nPatients with primary HTN included in this study were newly diagnosed, untreated, and were followed-up for a minimum of 6 months. HTN was confirmed by 24-h ambulatory blood pressure monitoring (ABPM). All patients underwent the following assessments: anthropometrical measurements of body mass index (BMI), carotid intima-media thickness (cIMT), left ventricular mass index (LVMI), plasma creatinine, urea, electrolytes, uric acid, fasting plasma glucose, blood lipids, urinalysis, urine culture, and first morning urine albumin tocreatinine ratio. The ABPM device performed measurements such as central blood pressure (cBP) and pulse wave velocity (PWV).\n\n\nRESULTS\nThirty-two of 104 patients were enrolled. Seventeen patients were male, and 53% were obese. Compared with pretreatment, creatinine, urea, systolic BP (SBP), diastolic BP (DBP), systolic load, diastolic load, central SBP (cSBP), cSBP z score, cDBP, and PWV z score decreased, whereas LVMI and BMI z scores were unchanged.\n\n\nCONCLUSION\nAfter BP improvement, while LVMI did not regress, the cSBP, cSBP z, and PWV z score values, which are markers of arterial stiffness, regressed. This supports the corrective effect of BP control on the cardiovascular system even in a short-term follow-up. Further longitudinal studies are needed for the assessment of BP control on arterial stiffness in childhood."</v>
          </cell>
          <cell r="E765" t="str">
            <v>CARDIAC &amp; CARDIOVASCULAR SYSTEMS</v>
          </cell>
          <cell r="F765" t="str">
            <v>hypertension,children,left ventricular hypertrophy,arterial stiffness</v>
          </cell>
          <cell r="H765" t="str">
            <v>Q4</v>
          </cell>
        </row>
        <row r="766">
          <cell r="B766" t="str">
            <v>10.5152/AnatolJCardiol.2022.1677</v>
          </cell>
          <cell r="C766" t="str">
            <v>"Background: Intermittent malfunction is a rare but potentially serious complication of prosthetic heart valve replacement. This study aimed to describe the clinical features and etiologic causes of patients with intermittent mechanical prosthetic heart valve dysfunction. Methods: Between 2010 and 2021, 16 patients who were evaluated in the echocardiography laboratory of KoÅŸuyolu Training and Research Hospital with the diagnosis of intermittent malfunction of prosthetic valves were included in the study. Results: The evaluated patients consisted of 12 bi-leaflet mitral valve replacements and 2 mono-leaflet mitral valve replacements. The underlying causes of intermittent malfunction were classified as follows: residual chord (nâ€‰=â€‰4), obstructive thrombus (nâ€‰=â€‰2), non-obstructive thrombus (nâ€‰=â€‰2), vegetation (nâ€‰=â€‰2), pannus and obstructive thrombus coexistence (nâ€‰=â€‰1), and solely pannus (nâ€‰=â€‰1). One of the patients with mono-leaflet mitral valve replacements had pannus and obstructive thrombus. In the other patient with mono-leaflet mitral valve replacement, a stuck valve was observed in 1 of 12 beats secondary to arrhythmia. There were also 2 patients with aortic valve replacements. One patient had moderate aortic regurgitation due to prominent calcification and the other had moderate obstruction due to pannus. In the patient with pannus, a stuck leaflet was observed in 1 of 6 beats and moderate aortic regurgitation arose in 1 of 2 beats in the patient with calcification. Conclusions: The intermittent stuck valve may have catastrophic outcomes. When making a treatment decision in these patients, assessing the degree of regurgitation or stenosis is essential. In particular, the frequency of entrapment should be taken into consideration when deciding the optimal therapy for intermittent prosthetic heart valve dysfunction."</v>
          </cell>
          <cell r="E766" t="str">
            <v>CARDIAC &amp; CARDIOVASCULAR SYSTEMS</v>
          </cell>
          <cell r="F766" t="str">
            <v>Prosthetic,valve disease,dysfunction,echocardiography</v>
          </cell>
          <cell r="H766" t="str">
            <v>Q4</v>
          </cell>
        </row>
        <row r="767">
          <cell r="B767" t="str">
            <v>10.5152/FNJN.2021.19219</v>
          </cell>
          <cell r="C767" t="str">
            <v>"AIM This study was carried out to adapt the â€œPost-Discharge Surgical Recovery Scale â€œ developed by Kleinbeck into Turkish and analyze the scaleâ€™s validity and reliability. METHODS The study sample consisted of 343 patients who underwent surgery in a state hospital operating in the province of DiyarbakÄ±r, in the province of Istanbul. The sample consisted of 271 people due to voluntary participation and reasons for not being able to reach. This research, which is of methodological type, was carried out between April and July 2019. The Individual Information Form and the Post-Discharge Surgical Recovery Scale, which the researchers developed by scanning the literature, were used to collect the data. In the validity and reliability study of the scale; Linguistic equivalence, content validity for expert assessment, the correlation between items for internal consistency/reliability, and calculating Cronbach alpha values and confirmatory and exploratory factor analyzes were performed for construct validity. IBM SPSS Statistics 25 and IBM SPSS Amos 21 programs were used for statistical evaluation of the data. RESULTS It was determined that the content validity index of the scale was 0.96, the correlation values between the items were r=0.47â€“0.97, the explained variance was 75.238%, and it was gathered under a single factor. The general reliability of the scale is very high as alpha=0.975. In the confirmatory factor analysis for the scale, the fit indices of the scale were CFI = 0.76; NNFI = 0.93; It was determined that RMR =0.11 and RMSEA = 0.13, AGFI=0.69, GFI=0.77. CONCLUSION The research results suggest that the Turkish version of the â€œPost-Discharge Surgical Scaleâ€ is a valid and reliable measurement tool and can be used in scientific research and health care institutions to measure recovery post discharge."</v>
          </cell>
          <cell r="E767" t="str">
            <v>NURSING</v>
          </cell>
          <cell r="F767" t="str">
            <v>Discharge,early post-operative recovery,improved recovery</v>
          </cell>
          <cell r="H767" t="str">
            <v>Q4</v>
          </cell>
        </row>
        <row r="768">
          <cell r="B768" t="str">
            <v>10.5152/balkanmedj.2021.21122</v>
          </cell>
          <cell r="C768" t="str">
            <v>"Background: Pancreatic ductal adenocarcinoma differs from other solid tumors with its unique immunosuppressive microenvironment and non-immunogenic feature. There are not many studies in the literature investigating the effect of these features on prognosis. Aims: To investigate the prognostic value of tissue-resident memory T cells, tumor microenvironment features, and tumor-associated immune cells in resected pancreatic ductal adenocarcinomas. Study Design: Retrospective cross-sectional study. Methods: Of 138 patients diagnosed with pancreatic ductal adenocarcinoma between 2011 and 2018, 81 were included in the study. Specimens from operated patients were reassessed separately as peritumoral and intratumoral areas for tissue resident memory cells and tumor microenvironmental elements (tumor infiltrating lymphocytes, tumor stroma, CD204+ macrophages, PDL1+ immune cells). Disease-free survival and overall survival were defined from the date of operation to the date of recurrence and the date of first diagnosis to the date of death, respectively. If the patient was alive, the last visit date was taken into account. Results: The median age at diagnosis was 63 (range: 40-78). The median follow-up period was 18.9 months (range: 1.4-80.4 months). Median overall survival was 23.7 months (1.4-80.4 months) and median disease-free survival was 10.8 months (1.4-74.4 months). Patients with higher intra-tumoral tissue-resident memory cell counts had a longer survival trend than those having lower values (25.6 months vs. 18 months, respectively, P = .84). According to microenvironmental evaluations, lower stromal score (defined as stroma having less desmoplasia and rich in cells) and presence of peritumoral Crohnâ€™s-like inflammatory response were associated with higher survival (29.2 months vs. 19.7 months for low vs. high stromal scores, respectively, P = .16 and 30.2 months vs. 18.1 months for the presence of Crohnâ€™s-like inflammatory response P = .13). Decreased survival was observed in tumors with increased CD204+ tumor-associated macrophages which were immunosuppressive elements of the microenvironment (12 months vs. 26.3 months for intra-tumoral assessment, P = .29). Conclusion: Tissue-resident memory T cells and other microenvironmental features may be prognostic in resectable pancreatic ductal adenocarcinomas. Further studies with larger cohorts are needed for validation."</v>
          </cell>
          <cell r="E768" t="str">
            <v>MEDICINE, GENERAL &amp; INTERNAL</v>
          </cell>
          <cell r="H768" t="str">
            <v>Q2</v>
          </cell>
        </row>
        <row r="769">
          <cell r="B769" t="str">
            <v>10.5152/eurjrheum.2020.20101</v>
          </cell>
          <cell r="C769" t="str">
            <v>"OBJECTIVE\nWe believe that IgG4 may have a role in the pathogenesis of Peyronie's disease (PD), and this role could be particularly beneficial for developing new strategies; therefore, we aimed to investigate the role of IgG4 in PD.\n\n\nMETHODS\nThis study included 3 groups with a total of 139 subjects: (I) PD group (n=61), (II) control group (n=48), and (III) benign prostatic hyperplasia (BPH) group (n=30). IgG4 measurement was performed using the enzyme-linked immunosorbent assay. Plaque size, penile curvature, and the presence of concomitant impotence were evaluated in the PD group. Impotence was assessed based on the International Index of Erectile Function (IIEF).\n\n\nRESULTS\nA significant difference was observed between the PD and control groups and between the PD and BPH groups with regard to IgG4 levels, while no significant difference was found between the BPH and control groups (p=0.0001, p=0.002, and p=0.07, respectively). The IgG4 levels were significantly higher in the PD than in the other groups. The cutoff value determined between the groups was 87.5, 82, and 31.5, respectively. Mean plaque size was 2.0Â±1.01 cm, and a significant relationship was found between plaque size and IgG4 concentration (p=0.02). Mean penile curvature was 35.6Â±25.1Â°, and a significant relationship was found between penile curvature of &gt;60Â° and IgG4 concentration (p=0.001). Mean IIEF score was 19 (range, 7-25). Moreover, no significant relationship was found between erectile dysfunction and IgG4 concentration. Penile pain was present in 24 (39.3%) patients with PD.\n\n\nCONCLUSION\nThe IgG4 levels were significantly increased in patients with PD, which implies that IgG4 may have a role in the pathogenesis of PD. This finding could be particularly beneficial for developing new strategies. Future studies with larger patient series are needed to substantiate our findings."</v>
          </cell>
          <cell r="E769" t="str">
            <v>RHEUMATOLOGY</v>
          </cell>
          <cell r="F769" t="str">
            <v>Etiology of Peyronie disease,IgG4,IgG4 related disease,Peyronie disease</v>
          </cell>
          <cell r="H769" t="str">
            <v>Q4</v>
          </cell>
        </row>
        <row r="770">
          <cell r="B770" t="str">
            <v>10.5152/j.aott.2021.18372</v>
          </cell>
          <cell r="C770" t="str">
            <v>"OBJECTIVE\nThis study aimed to determine the efficacy of prophylactic use of vancomycin powder against surgical site infections in patients with high-risk conditions who underwent posterior spinal instrumentation.\n\n\nMETHODS\nData obtained from 209 patients who underwent posterior spinal instrumentation at a single institution from 2014 to 2017 were retrospectively reviewed. Patients were then divided into two groups: control group, including 107 patients (61 females, 46 males; mean age=54 years; age range=16-85 years), and treatment group, including 102 patients (63 females, 39 males; mean age=53 years; age range=14-90 years). All patients received the same standard prophylactic antibiotic regimen. In addition to the prophylactic antibiotic, vancomycin powder was applied locally to the surgical site in the treatment group. All patients were followed up for at least 90 days postoperatively. Infections were categorized as superficial and deep infections. Subgroup analysis of high-risk patients (Syrian refugees) was also performed.\n\n\nRESULTS\nThe infection rates were 1.96% (two patients) in the treatment group and 6.54% (seven patients) in the control group. A significant decrease in the infection rates was observed with local vancomycin powder application. Advanced age (&gt;46 years) and prolonged surgical duration (&gt;140 min) were found to be the main risk factors for surgical site infections (p=0.004 and p=0.028, respectively). The infection rates were 3.22% and 8.11% in the treatment and control groups of refugees, respectively. There were three superficial and four deep infections in the control group and one superficial and one deep infection in the treatment group. A dominance of staphylococcus infections was observed in the control group, whereas no significant dominance was observed in the treatment group. Three patients in the control group and one patient in the treatment group received implant removal.\n\n\nCONCLUSION\nEvidence from this study has revealed that local application of vancomycin powder reduces the rate of surgical site infections after instrumented spinal surgery. The benefit of vancomycin application may be most appreciated in higher risk populations or in clinics with high baseline rates of infection.\n\n\nLEVEL OF EVIDENCE\nLevel III, Therapeutic Study."</v>
          </cell>
          <cell r="E770" t="str">
            <v>ORTHOPEDICS</v>
          </cell>
          <cell r="F770" t="str">
            <v>Surgical site infection,Vancomycin powder,Spine surgery,Posterior instrumentation,Complication</v>
          </cell>
          <cell r="H770" t="str">
            <v>Q4</v>
          </cell>
        </row>
        <row r="771">
          <cell r="B771" t="str">
            <v>10.5152/j.aott.2021.19246</v>
          </cell>
          <cell r="C771" t="str">
            <v>"OBJECTIVE\nThis study aimed to present the mid-term clinical and radiographic outcomes of patients with perilunate injuries treated with open reduction and internal fixation (ORIF).\n\n\nMETHODS\nPatients who underwent ORIF due to perilunate injuries from 2004 to 2015 were retrospectively reviewed. Surgery was mostly performed using a standard dorsal approach. Each injury was graded as per Mayfield staging. At the final follow-up, pain intensity was evaluated using a 10-cm visual analog scale (VAS). Wrist and elbow range of motion, handgrip and pinch strength, Modified Mayo Wrist Scores, and the disabilities of the arm, shoulder, and hand (DASH) scores were measured. On plain radiographic examination, the scapholunate (SL) angle, SL interval, carpal height, and continuity of Gilula arcs were evaluated. The presence of arthritis was also assessed using the Herzberg classification.\n\n\nRESULTS\nIn total, 26 male patients (27 wrists) who met the inclusion criteria were included in the study. The mean age was 40 years (range: 20-58); the mean follow-up was 45 months (range: 16-96). Most of the injuries were fracture-dislocations (n=20; 71.4%). According to Mayfield staging, 7 wrists were grade 3, and 20 wrists were grade 4. According to Herzberg staging, 11 (40.7%) patients were stage 2a. The mean VAS was 2.3 (range: 0-5) at rest and 3.3 (range: 0-7) during activity. The mean wrist flexion and extension were 50Â° (range: 21-80Â°; 73.5% of the unaffected side) and 45.1Â° (range: 20-74Â°; 70.9% of the unaffected side), respectively. The mean radial and ulnar deviation were 14.6Â° (range: 6-25Â°; 63.6% of the unaffected side) and 22.3Â° (range: 5-40Â°; 64.7% of the unaffected side), respectively. Grip and pinch strength were 57.6 kg (range: 15-106; 65.5% of the unaffected side) and 18.6 kg (range: 8-28; 78.2% of the unaffected side), respectively. The mean Mayo score was 63.3 (range: 20-90), and the DASH score was 24.1Â±25.2. The mean SL angle was 61.6Â° (range: 40-83). There was 1 wrist with a pathological SL interval, 11 wrists with dorsal intercalated segmental instability, and 3 wrists with fractures of the Gilula arcs. The mean carpal height was within the normal range.\n\n\nCONCLUSION\nIn the treatment of perilunate injuries, satisfactory clinical and radiographic outcomes can be expected from ORIF at mid-term follow-up.\n\n\nLEVEL OF EVIDENCE\nLevel IV, Therapeutic Study."</v>
          </cell>
          <cell r="E771" t="str">
            <v>ORTHOPEDICS</v>
          </cell>
          <cell r="F771" t="str">
            <v>Dislocation,Fracture,Perilunate injury,Wrist</v>
          </cell>
          <cell r="H771" t="str">
            <v>Q4</v>
          </cell>
        </row>
        <row r="772">
          <cell r="B772" t="str">
            <v>10.5152/j.aott.2021.20364</v>
          </cell>
          <cell r="C772" t="str">
            <v>"OBJECTIVE\nThe aim of this study was to investigate whether collagenase clostridium histolyticum (CCH) reduces intra-articular fibrotic adhesion formation in a rat model of arthrofibrosis.\n\n\nMETHODS\nA total of 24 male Wistar rats (7 months old, weighing 220 -275 g) were randomly and equally assigned to one of two groups: the collagenase group and the control group (n = 12 each). In each group, a partial capsulotomy, and synovectomy were performed in knee. After a partial capsulotomy and synovectomy were performed in each group, the collagenase group received intra-articular CCH of 0.008 mg in 0.1 mL saline solution while the control group received the equal volume of intra-articular saline solution alone. After 6 weeks of surgery, the rats were sacrificed by decapitation, and the following outcome measures were collected. Knee range of motion (ROM) was measured using with a goniometer under 20 g force. Adhesion formation was rated using the macroscopic visual scoring system after the knee joint was exposed through a lateral parapatellar approach. Histological evaluation was performed on samples including connective tissue and fibrotic adhesions, and fibroblast cell numbers were measured performed per square. Levels of interleukin 1 (IL-1) and fibroblast growth factor (FGF) were assayed by ELISA from the intra-articular fluid.\n\n\nRESULTS\nThe macroscopic visual scoring system was significantly lower in the collagenasegroup (median = 1, range = 0-2) than in the control group (median = 2, range = 1-3)( &lt; 0.001).ROMwas significantly higher in the collagenase group (102Â° Â± 12.1Â°) than in the control group (77Â° Â±8.94Â°) (P &lt;0.001). The number of fibroblasts obtained from the scar tissue were considerably lower in the collagenase group (mean = 16.5 Â± 2.74) compared tothe control group (mean = 30.1Â± 4.89) (P &lt; 0.001). Levels of IL-1 andFGF were significantly lower in the collagenase group (mean = 18.6 ng/l Â± 4.39,mean = 36.3 ng/l Â± 2.03; respectively) compared to the control group (mean = 31.7ng/l Â± 3.75, mean = 38.7 ng/l Â± 2.19; respectively) (P &lt; 0.001).\n\n\nCONCLUSION\nEvidence from this study has revealed that CCH injection can inhibit the development ofarthrofibrosis, decreasing the precursor inflammatory cytokines (IL-1 and FGF-1) and histologic fibrosis in a rat knee arthrofibrosis model.\n\n\nLEVEL OF EVIDENCE\nLevel IV, Therapeutic study."</v>
          </cell>
          <cell r="E772" t="str">
            <v>ORTHOPEDICS</v>
          </cell>
          <cell r="F772" t="str">
            <v>Collagenase,Arthrofibrosis,Rat,Interleukin,Fibroblast growth factor</v>
          </cell>
          <cell r="H772" t="str">
            <v>Q4</v>
          </cell>
        </row>
        <row r="773">
          <cell r="B773" t="str">
            <v>10.5195/cinej.2021.388</v>
          </cell>
          <cell r="C773" t="str">
            <v>"Ezra, E. (2020). Shoe Reels: The History and Philosophy of Footwear in Film. Edinburgh: Edinburgh University Press. xi + 293 pp. ISBN: 978-1-4744-5140-6"</v>
          </cell>
          <cell r="E773" t="str">
            <v>FILM, RADIO, TELEVISION</v>
          </cell>
          <cell r="H773" t="str">
            <v>Q1</v>
          </cell>
        </row>
        <row r="774">
          <cell r="B774" t="str">
            <v>10.52083/LBPJ5041</v>
          </cell>
          <cell r="C774" t="str">
            <v>"Surgical complications may occur in the interforaminal area when course and morphological features of anatomical structures, which includes neurovascular structures in the mandible, cannot be defined correctly. The aim of this study is to determine the course and morphological characteristics of the mental foramen (MF) and the mandibular incisive canal (MIC) in Turkish society. Cone Beam Computed Tomography (CBCT) is considered the gold standard for dental imaging; therefore, in this study 96 CBCT images were examined retrospectively. The width and the length of the MF, distance from the MF to the alveolar bone crest, lower border of the mandible, angulation of mental canal to buccal bone surface, the length of the MIC, the angle among mental foramenincisive canal and a horizontal plane parallel to the inferior border of the mandible, and the height of the angle were measured. At the endmost point of the MIC, the distance between the canal and inferior, labial, and lingual borders of the mandible was measured. The most common locations of MF were along the second premolar (23,4%). MIC was absent in 24,4% of the cases. The most common locations of the endmost point of MIC were along the first incisive (35,8%), MIC length was significantly longer in males. Although the structures show variation among individuals, the mean values in Turkish society are similar to the mean values in the literature."</v>
          </cell>
          <cell r="E774" t="str">
            <v>ANATOMY &amp; MORPHOLOGY</v>
          </cell>
          <cell r="F774" t="str">
            <v>Mandibular incisive canal,Mental&amp;nbsp,foramen,Anatomy,CBCT,Surgery</v>
          </cell>
          <cell r="H774" t="str">
            <v>Q4</v>
          </cell>
        </row>
        <row r="775">
          <cell r="B775" t="str">
            <v>10.5222/MMJ.2021.17992</v>
          </cell>
          <cell r="C775" t="str">
            <v>"Abstract Lemierreâ€™s syndrome is an illness characterized by internal jugular vein thrombophlebitis related to infectious agents, primarily Fusobacterium necrophorum. These bacteria, residing in both the oropharynx and the gastrointestinal tract, may lead to pylephlebitis, a serious condition that could result in the development of hepatic abscesses. This manifestation of the disease is regarded as the abdominal variant of Lemierreâ€™s syndrome. Patients with gastrointestinal malignancies, especially those who undergo surgeries, are susceptible to the abdominal variant of Lemierreâ€™s syndrome. Timely diagnosis is required to avoid the life-threatening complications of the abdominal variant of Lemierreâ€™s syndrome. Diffusion-weighted magnetic resonance imaging (MRI) might be very useful in differentiating this disease from liver metastasis in patients with malignancies. Radiologists and clinicians need to be aware of this challenging condition to prevent misdiagnosis, since prompt treatment is often lifesaving."</v>
          </cell>
          <cell r="E775" t="str">
            <v>MEDICINE, GENERAL &amp; INTERNAL</v>
          </cell>
          <cell r="F775" t="str">
            <v>Lemierre's syndrome,thrombophlebitis,portal vein,liver abscess,pyogenic,pancreatic neoplasms</v>
          </cell>
          <cell r="H775" t="str">
            <v>Q2</v>
          </cell>
        </row>
        <row r="776">
          <cell r="B776" t="str">
            <v>10.5414/CN110735</v>
          </cell>
          <cell r="C776" t="str">
            <v>"AIM\nWe aimed to evaluate daily variability of bicarbonate in hemodialysis (HD) patients and identify the factors which affect that issue.\n\n\nMATERIALS AND METHODS\nBlood samples of 41 patients for bicarbonate (total carbon dioxide (CO2)) and blood gas analysis (pH, bicarbonate (HCO3-)) were obtained, pre-dialysis and post-dialysis, on the first, second, and third session of the week. Those with pre-dialysis HCO3- &lt; 22Â mmol/L in all sessions were classified as acidotic. Demographic and laboratory data of acidotic and non-acidotic groups were compared, and the factors related to HCO3- level were identified.\n\n\nRESULTS\npH, tCO2, HCO3- of the first HD session were significantly lower than those of short inter-dialytic intervals (pÂ &lt;Â 0.001, respectively). Using Blant Altman analysis, pre- and post-dialysis tCO2 did not show good agreement with HCO3-. Acidotic patients had higher levels of serum albumin and phosphorus (pÂ &lt;Â 0.01 and pÂ =Â 0.02, respectively) and were more likely to use sevelamer (pÂ =Â 0.04). Also, the value of HCO3- was inversely correlated with dialysis vintage (rÂ =Â -0.432, pÂ =Â 0.005) and serum albumin (rÂ =Â -0.427, pÂ =Â 0.005).\n\n\nCONCLUSION\nSince tCO2 did not show good agreement with HCO3-, relying solely on the pre-dialysis tCO2 values to define metabolic acidosis may increase misclassification rate. More work is needed for optimal assessment of acid-base status. Also, understanding the determinants of HCO3- may guide physicians for individualized HCO3- prescription."</v>
          </cell>
          <cell r="E776" t="str">
            <v>UROLOGY &amp; NEPHROLOGY</v>
          </cell>
          <cell r="F776" t="str">
            <v>acid-base disorders,he-modialysis,dialysis bath,drugs and dialysis vintage</v>
          </cell>
          <cell r="H776" t="str">
            <v>Q4</v>
          </cell>
        </row>
        <row r="777">
          <cell r="B777" t="str">
            <v>10.5472/marumj.1368074</v>
          </cell>
          <cell r="C777" t="str">
            <v>"Objective: Chiral switch, which involves replacing racemic drugs to market them as pure enantiomers, is presumed to improve efficacy\r\nand safety. Data on how chiral switch-related changes are represented in summary of product characteristics (SmPC) is scarce. We\r\naimed to compare the indication, posology, and safety expressions in SmPCs of racemates and their pure enantiomers.\r\nMaterials and Methods: We examined SmPCs of nine drug pairs (racemate/pure enantiomer) that underwent chiral switching among\r\ntop 100 utilized active substances throughout Turkey. We evaluated the expressions in â€œindicationsâ€, â€œposologyâ€, and â€œadverse effectsâ€\r\n(AE) subheadings. Daily doses were examined based on â€œDefined Daily Doseâ€ (DDD) metric.\r\nResults: We detected indication differences in four drug pairs, including absence of â€œpeptic ulcerâ€ in dexlansoprazole and â€œprevention\r\nof depression relapsesâ€ in escitalopram. DDDs of pure enantiomers decreased in most of the pairs. Recommended daily doses of\r\nesomeprazole and dexibuprofen per DDD were lower than their racemates. Cautions about use in renal and/or hepatic insufficiency\r\nvaried in three pairs. AE expressions differed in seven drug pairs, mainly citalopram/escitalopram.\r\nConclusion: This study demonstrated few indication differences in SmPCs of the drug pairs frequently used in Turkey and underwent\r\nchiral switching. However, dose reductions and distinctions in safety expressions were remarkable."</v>
          </cell>
          <cell r="E777" t="str">
            <v>MEDICINE, GENERAL &amp; INTERNAL</v>
          </cell>
          <cell r="F777" t="str">
            <v>Chirality,Chiral switch,Pure enantiomer,Racemate,Summary of product characteristics,Health policy</v>
          </cell>
          <cell r="H777" t="str">
            <v>Q4</v>
          </cell>
        </row>
        <row r="778">
          <cell r="B778" t="str">
            <v>10.5505/pajes.2020.26817</v>
          </cell>
          <cell r="C778" t="str">
            <v>"Valvular diseases may affect one or more of the cardiac valves, which may need to be replaced or restored for effective treatment. The surgical procedure can be guided by a patient-specific and dynamic model containing information complementary to the 2D/3D static images of the valves. To this end, in this study a novel automated model-free aortic valve segmentation method is presented, and its performance is evaluated against expert annotations over conventional contrast-enhanced ECG-gated multislice CT data of the aortic valve at its closed position. Detailed evaluation of the proposed method in 19 real cases revealed an encouraging performance of 3D region growing over Hessian based approach but also demonstrated the complexity of the problem."</v>
          </cell>
          <cell r="E778" t="str">
            <v>ENGINEERING, MULTIDISCIPLINARY</v>
          </cell>
          <cell r="F778" t="str">
            <v>Aortic valve,Segmentation,Model-Free,Region growing,Hessian,Supravalvular sinus detection,Ascending aorta,Computed tomography,Valvular heart diseases</v>
          </cell>
          <cell r="H778" t="str">
            <v>Q4</v>
          </cell>
        </row>
        <row r="779">
          <cell r="B779" t="str">
            <v>10.5543/tkda.2021.21173</v>
          </cell>
          <cell r="C779" t="str">
            <v>"OBJECTIVE\nInfective endocarditis (IE)-related ST elevation myocardial infarction (STEMI) is extremely rare. A clear clinical consensus is lacking regarding the management of this emergency. In this study, we aimed to describe the clinical outcomes of treatment strategies in this patient population.\n\n\nMETHODS\nThe study population comprised 19 retrospectively evaluated patients (nine women; mean age 52Â±11.8 years) with a diagnosis of IE-related STEMI. Transesophageal echocardiography detected vegetation in all the patients. The study population was divided into two groups on the basis of in-hospital mortality.\n\n\nRESULTS\nMajor clinical manifestations included dyspnea (89.5%), fever (78.9%), and chest pain (63.2%). Catheter-based coronary angiography was performed in all the patients. The causative agent was isolated in all the cases, and Staphylococcus aureus was identified in seven (36.8%). The most common infarction was in the left anterior descending artery (n=12 [63.2%]). The treatment strategy consisted of mechanical thrombectomy (n=1), valve replacement following stent implantation (n=5), direct balloon angioplasty (n=4), valve replacement along with coronary artery bypass grafting (CABG; n=6), and medical follow-up (n=3). Moreover, thrombolysis in myocardial infarction III flow was significantly higher in the survival group (100% vs. 0%, p&lt;0.001). All these patients preferred CABG or stent implantation for revascularization.\n\n\nCONCLUSION\nThe current data suggest that a revascularization strategy with stent implantation or revascularization with CABG has a lower mortality rate in patients with IE-related STEMI."</v>
          </cell>
          <cell r="E779" t="str">
            <v>CARDIAC &amp; CARDIOVASCULAR SYSTEMS</v>
          </cell>
          <cell r="F779" t="str">
            <v>Acute myocardial infarction/STEMI,coronary artery disease,endocarditis,primary percutaneous coronary intervention</v>
          </cell>
          <cell r="H779" t="str">
            <v>Q4</v>
          </cell>
        </row>
        <row r="780">
          <cell r="B780" t="str">
            <v>10.5543/tkda.2022.22334</v>
          </cell>
          <cell r="C780" t="str">
            <v>"The objective of this article is to describe a patient with hemorrhagic shock due to type 3 postendovascular aortic repair rupture successfully treated with the endurant II stent graft via a primary endovascular approach with a rapid response protocol. A 65-year-old male patient who underwent endovascular aortic repair 3 years ago was admitted to the emergency department with severe abdominal pain and hemorrhagic shock. The patient was rapidly taken to the angiography laboratory, and aortography demonstrated distal aortic graft rupture and extravasation of contrast media. The repair was performed successfully with 3 stent-grafts by paying attention to rupture localization and renal artery ostia. The hemodynamics of the patient improved very quickly, and the patient was discharged after 5 days. Emergency primary stent grafting using a rapid response protocol could be a crucial alternative to open surgery for late endoleaks, which are complicated with hemorrhagic shock."</v>
          </cell>
          <cell r="E780" t="str">
            <v>CARDIAC &amp; CARDIOVASCULAR SYSTEMS</v>
          </cell>
          <cell r="F780" t="str">
            <v>Abdominal aortic aneurysm,endovascular aneurysm repair,rapid response protocol,stent-graft,type 3 endoleak</v>
          </cell>
          <cell r="H780" t="str">
            <v>Q4</v>
          </cell>
        </row>
        <row r="781">
          <cell r="B781" t="str">
            <v>10.5543/tkda.2022.22430</v>
          </cell>
          <cell r="C781" t="str">
            <v>"OBJECTIVE\nDiscontinuation of metformin treatment is a frequently used approach in clinical practice in diabetic ST-segment elevation myocardial infarction patients using metformin in order to reduce the risk of contrast-induced acute kidney injury. There is insufficient evidence in the literature to support this approach. The aim of this study is to determine whether the risk of contrast-induced acute kidney injury is different in diabetic ST-segment elevation myocardial infarction patients using metformin compared to those not taking metformin.\n\n\nMETHODS\nThe population of the study consisted of patients who applied to our centers that are covered by this study with the diagnosis of ST-segment elevation myocardial infarction and underwent primary percutaneous intervention between 2014 and 2019. Three forty-three diabetic patients that met the study inclusion criteria were divided into 2 groups as who have been receiving metformin and who have not. Patients' creatinine values at admission and peak creatinine values were compared in order to determine whether they have developed contrastinduced acute kidney injury. The 2 groups were compared using conditional logistic regression analysis conducted with the inverse probability weighting method.\n\n\nRESULTS\nNon-weighted classic multivariable logistic regression analysis revealed that metformin use was not associated with acute kidney injury. Weighted conditional multivariable logistic regression revealed that the increase in the risk of acute kidney injury was associated with baseline creatinine levels [odds ratio: 1.49 (1.06-2.10; 95% CI) P=.02] and that the increase in the risk of contrast-induced acute kidney injury was not associated with metformin usage [odds ratio: 0.92 (0.57-1.50, 95% CI) P=.74].\n\n\nCONCLUSION\nNo statistically significant difference was found between the metformin and nonmetformin users among the diabetic ST-segment elevation myocardial infarction patients who underwent primary percutaneous intervention in the risk of contrast-induced acute kidney injury."</v>
          </cell>
          <cell r="E781" t="str">
            <v>CARDIAC &amp; CARDIOVASCULAR SYSTEMS</v>
          </cell>
          <cell r="F781" t="str">
            <v>Contrast nephropathy,contrast-induced acute kidney injury,metformin,ST-segment elevation myocardial infarction</v>
          </cell>
          <cell r="H781" t="str">
            <v>Q4</v>
          </cell>
        </row>
        <row r="782">
          <cell r="B782" t="str">
            <v>10.5543/tkda.2023.69226</v>
          </cell>
          <cell r="C782" t="str">
            <v>"OBJECTIVE\nThis study aimed to describe the eï¬€ects of new academic criteria established in 2016 on the abstracts of the National Congress of the Turkish Society of Cardiology.\n\n\nMETHODS\nThe abstracts presented at 13 consecutive annual congresses were obtained. A literature search was conducted with PubMed, Google Scholar, and Web of Science databases to analyze whether the abstract was published in a scientiï¬c journal. The study was divided into 2 time groups according to the new academic criteria published in 2016. Group 1 included 4828 abstracts accepted at National Congress of the Turkish Society of Cardiology between 2009 and 2016, while Group 2 included 2284 abstracts accepted at National Congress of the Turkish Society of Cardiology between 2017 and 2021.\n\n\nRESULTS\nA total of 7112 abstracts were accepted for the 2009-2021 National Congress of the Turkish Society of Cardiology meetings scientiï¬c program. The publication rate (43.2% vs. 23.9%, P &lt; 0.001), number of authors [7(5-9) vs. 4(3-6), P &lt; 0.001], and rate of original investigation (72.3 vs. 56.5%, P &lt; 0.001) were signiï¬cantly lower in group 2 than in group 1. Among the quality parameters of the journals in which the abstracts were published, the impact factor (0.59 Â± 1.71 vs. 0.26 Â± 1.09, P &lt; 0.001), the rate of journals in science citation index or science citation index-expanded indexes (70.4 vs. 57.9%, P &lt; 0.001), and the rate of the second or third-quartile class (24.2 vs. 16.1%, P &lt; 0.001) were signiï¬cantly lower in group 2 as compared to group 1. Being in group 1 oral presentation, original investigation, and cardiac imaging were identiï¬ed as independent predictors for publication in scientiï¬c journals.\n\n\nCONCLUSION\nThis study showed that the 2016 new academic criteria negatively aï¬€ected the publication processes of accepted abstracts in National Congress of the Turkish Society of Cardiology."</v>
          </cell>
          <cell r="E782" t="str">
            <v>CARDIAC &amp; CARDIOVASCULAR SYSTEMS</v>
          </cell>
          <cell r="F782" t="str">
            <v>Abstract,academic journal,impact factor,publication,Turkish Society of Cardiology</v>
          </cell>
          <cell r="H782" t="str">
            <v>Q4</v>
          </cell>
        </row>
        <row r="783">
          <cell r="B783" t="str">
            <v>10.5543/tkda.2023.81082</v>
          </cell>
          <cell r="C783" t="str">
            <v>"OBJECTIVE\nCarcinoembryonic antigen is a serological marker used in the diagnosis of malignancies and is also associated with inï¬‚ammatory events. It has also been reported that carcinoembryonic antigen is associated with cardiovascular diseases. However, not much is known about the relationship between arterial stiï¬€ness and carcinoembryonic antigen. In this study, we investigated the relationship between serum carcinoembryonic antigen levels and arterial stiï¬€ness.\n\n\nMETHODS\nThe data of 371 (female = 192, male = 179) individuals who applied for cardiac check-up without obvious cardiovascular diseases were analyzed cross-sectionally. Echocardiography was used to assess the participants' aortic stiï¬€ness index.\n\n\nRESULTS\nIn our sample, aortic stiï¬€ness index and carcinoembryonic antigen were determined as median = 8.98, interquartile range 7.60 and median = 1.58 ng/mL, interquartile range 1.52, respectively. Aortic stiï¬€ness index and carcinoembryonic antigen levels were signiï¬cantly higher in males than females. A signiï¬cant correlation was observed between carcinoembryonic antigen and aortic stiï¬€ness index in the whole sample (r = 0.550, P &lt; 0.001) and separately in females (r = 0.480, P &lt; 0.001) and males (r = 0.602, P &lt; 0.001). In multivariate stepwise regression analysis, female gender (r = -0.081, P &lt; 0.001), age (r = 0.006, P &lt; 0.001), BMI (r = 0.007, P = 0.002), and carcinoembryonic antigen (r = 0.375, P &lt; 0.001) were determined as the strongest independent variables associated with aortic stiï¬€ness. When the model was adapted separately for females and males, age and carcinoembryonic antigen were determined as independent variables for aortic stiï¬€ness in both genders.\n\n\nCONCLUSION\nCarcinoembryonic antigen level is associated with aortic stiï¬€ness in healthy individuals. However, the clinical signiï¬cance of this relationship is unknown."</v>
          </cell>
          <cell r="E783" t="str">
            <v>CARDIAC &amp; CARDIOVASCULAR SYSTEMS</v>
          </cell>
          <cell r="F783" t="str">
            <v>Aortic stiffness,carcinoembryonic antigen,cardiovascular risk</v>
          </cell>
          <cell r="H783" t="str">
            <v>Q4</v>
          </cell>
        </row>
        <row r="784">
          <cell r="B784" t="str">
            <v>10.5546/aap.2021.eng.114</v>
          </cell>
          <cell r="C784" t="str">
            <v>"INTRODUCTION\nChildhood obesity can cause hyperlipidemia and hepatic steatosis at early age and chronic disease complications in adult life. We aimed to evaluate the relationship between abdominal subcutaneous fat thickness (ASFT) and hepatic steatosis, serum lipid and transaminase levels in obese children.\n\n\nPOPULATION AND METHODS\nA retrospective study was conducted with children (aged 4-18 years) who presented to outpatient clinic due to obesity. Associations between ASFT as assessed by ultrasonography (US) and hepatic steatosis, alanine transaminase (ALT), aspartate transaminase (AST) and serum lipid profile were evaluated.\n\n\nRESULTS\nWe identified 95 children, all of which were diagnosed as having hepatic steatosis; the most common type was grade 1 (73.6 %, n: 70), followed by grade 2 (21.1 %) and grade 3 (5.3 %). The mean values of midline and flank ASFT were measured as 38.48 Â± 11.53 mm and 20.91 Â± 8.00 mm in grade 1; 41.23 Â± 10.03 and 19.84 Â± 6.75 in grade 2 and 63.12 Â± 12.08 and 23.22 Â± 5.92 in grade 3 hepatic steatosis, respectively. Midline and flank ASFT correlated positively with triglycerides in grade 3 steatosis, while midline ASFT correlated with body mass index, total cholesterol, low-density lipoprotein cholesterol, and AST (r: 0.9; p: 0.037; r: 0.648, p: 0.001; r: 0.387, p: 0.001; r: 0.406, p: 0.001, r: 0.463, p: 0.001; respectively) in grade 1 steatosis.\n\n\nCONCLUSION\nASFT as assessed by US may be of predictive value for hyperlipidemia in grade 3 and for hypercholesterolemia in grade 1 hepatic steatosis in obese children."</v>
          </cell>
          <cell r="E784" t="str">
            <v>PEDIATRICS</v>
          </cell>
          <cell r="F784" t="str">
            <v>subcutaneous fat abdominal,pediatric obesity,liver steatoses,lipid metabolism</v>
          </cell>
          <cell r="H784" t="str">
            <v>Q4</v>
          </cell>
        </row>
        <row r="785">
          <cell r="B785" t="str">
            <v>10.5566/ias.2857</v>
          </cell>
          <cell r="C785" t="str">
            <v>"Fundus images are the principal tool for observing and recognizing a wide range of ophthalmological abnormalities. The automatic and robust methods based on color fundus images are urgently needed since few symptoms are observable in the early stages of the disease. Experts must manually evaluate images to detect diseases for screening procedures to be effective. Due to the complexity of the screening procedure and the shortage of experienced personnel, developing successful screening-based treatments is costly. Although existing automated approaches strive to address these issues, they cannot handle a wide range of diseases and real-world circumstances. We design an automated deep learning-based ensemble method to detect and classify eye diseases from fundus images to address the abovementioned problems. A deep CNN-based model is proposed in the ensemble method that incorporates a mix of 20 layers, including the activation, optimization, and loss functions. The contrast-limited adaptive histogram equalization (CLAHE) and Gaussian filter are utilized in the pre-processing step to get more explicit images and eliminate noise. To avoid overfitting in the training phase, augmentation techniques are applied. Three pre-trained CNN models, including VGG16, DenseNet201, and ResNet50, are employed to compare and assess the efficiency of the proposed CNN model. Experimental results demonstrate that the ensemble approach outperforms recent approaches, which is comparatively state-of-art in the ODIR publicly available dataset."</v>
          </cell>
          <cell r="E785" t="str">
            <v>IMAGING SCIENCE &amp; PHOTOGRAPHIC TECHNOLOGY|MATERIALS SCIENCE, MULTIDISCIPLINARY|MATHEMATICS, APPLIED</v>
          </cell>
          <cell r="F785" t="str">
            <v>Convolutional neural network,Deep learning,Ensemble model,Medical imaging,Ocular Disease</v>
          </cell>
          <cell r="H785" t="str">
            <v>Q4</v>
          </cell>
        </row>
        <row r="786">
          <cell r="B786" t="str">
            <v>10.55730/1300-0144.5376</v>
          </cell>
          <cell r="C786" t="str">
            <v>"Background/aim Studies mostly focused on risk factors and clinical status in children with cerebral palsy (CP). Various antiinflammatory markers may help us in the early diagnosis and clinical classification of cerebral palsy patients. In this study, the relationship between antiinflammatory marker levels and clinical status in patients with CP is determined. It is the first time that Fetuin-A and Paraoxonase-1 (PON-1) are examined in children with CP. Materials and methods The study is conducted on 79 children which are divided into two groups as CP and control. Gross motor function and spasticity are evaluated in addition to biochemical parameters. Results There is a statistically significant difference between CP and control group in terms of PON-1 activity, high sensitive C-Reactive Protein, HDL, and total cholesterol levels. There is no statistically significant difference in Fetuin A levels between the two groups. Conclusion In suspected CP patients less than 24 months of age who possess prenatal and postnatal risk factors, the determination of PON-1 activity can be considered as a biomarker to support early diagnosis."</v>
          </cell>
          <cell r="E786" t="str">
            <v>MEDICINE, GENERAL &amp; INTERNAL</v>
          </cell>
          <cell r="F786" t="str">
            <v>Fetuin-A,paraoxanase-1,cerebral palsy,children</v>
          </cell>
          <cell r="H786" t="str">
            <v>Q3</v>
          </cell>
        </row>
        <row r="787">
          <cell r="B787" t="str">
            <v>10.55730/1300-0144.5439</v>
          </cell>
          <cell r="C787" t="str">
            <v>"Background/aim It was aimed to analyze the relationship between tuberculosis-related mortality and nitrous oxide emission levels in the world with the Environmental Kuznets Curve (EKC) Method. Materials and methods WHO ICD-10 mortality list data and the World Bank Country Data (WBCD) were used between 1997 and 2017 for 12 countries. Cubic regression analysis was used for EKC Analysis. Results The difference between male and female deaths between 1996 and 1998 has increased sharply since 1999. Male deaths consistently occurred significantly more than female deaths. There was a significant and negative correlation between Nitrous oxide emissions (% change from 1990) and tuberculosis-related deaths, whereas there were significant and positive correlations between Nitrous oxide emissions in the energy sector (% of total) and tuberculosis-related deaths (p &lt; 0.01). EKC analysis results showed that there is a U shaped between tuberculosis-related mortality and nitrous oxide emission levels in the world. Conclusion Research results show that the relationship between nitrous oxide change and mortality is negative in the short term and positive in the long term. Therefore, although nitrous oxide gases cause respiratory diseases and mortality, it may be possible to transform a harmful environmental factor into a positive by developing devices or methods that will convert these gases into free radicals."</v>
          </cell>
          <cell r="E787" t="str">
            <v>MEDICINE, GENERAL &amp; INTERNAL</v>
          </cell>
          <cell r="F787" t="str">
            <v>Tuberculosis,nitrous oxide,environmental Kuznets curve,mortality</v>
          </cell>
          <cell r="H787" t="str">
            <v>Q3</v>
          </cell>
        </row>
        <row r="788">
          <cell r="B788" t="str">
            <v>10.55730/1300-0144.5724</v>
          </cell>
          <cell r="C788" t="str">
            <v>"Long noncoding RNAs (lncRNAs) are noncoding RNA molecules with a heterogeneous structure consisting of 200 or more nucleotides. Because these noncoding RNAs are transcribed by RNA polymerase II, they have properties similar to messenger RNA (mRNA). Contrary to popular belief, the term â€œncRNAâ€ originated before the discovery of microRNAs. LncRNA genes are more numerous than protein-coding genes. They are the focus of current molecular research because of their pivotal roles in cancer-related processes such as cell proliferation, differentiation, and migration. The incidence of pancreatic cancer (PC) is increasing around the world and research on the molecular aspects of PC are growing. In this review, it is aimed to provide critical information about lncRNAs in PC, including the biological and oncological behaviors of lncRNAs in PC and their potential application in therapeutic strategies and as diagnostic tumor markers."</v>
          </cell>
          <cell r="E788" t="str">
            <v>MEDICINE, GENERAL &amp; INTERNAL</v>
          </cell>
          <cell r="F788" t="str">
            <v>Long noncoding RNA,cancer,pancreas,pancreas cancer,biomarker</v>
          </cell>
          <cell r="H788" t="str">
            <v>Q3</v>
          </cell>
        </row>
        <row r="789">
          <cell r="B789" t="str">
            <v>10.55730/1300-0632.4003</v>
          </cell>
          <cell r="C789" t="str">
            <v>": Spell checking and correction is an important step in the text normalization process. These tasks are more challenging in agglutinative languages such as Turkish since many words can be derived from the root word by combining many suï¬€ixes. In this study, we propose a two-step deep learning-based model for misspelled word detection in the Turkish language. A false positive reduction model is integrated into the system to reduce the false positive predictions originating from the use of foreign words and abbreviations that are commonly used in Internet sharing platforms. For this purpose, we create a multi-class dataset by developing a mobile application for labeling. We compare the effect of using different types of tokenizers including character-based, syllable-based, and byte-pair encoding (BPE) approaches together with Long Short-Term Memory (LSTM) and Bi-directional LSTM (Bi-LSTM) networks. The findings show that the proposed Bi-LSTM-based model with the BPE tokenizer is superior to the benchmarking methods. The results also indicate that the false positive reduction step significantly increased the precision of the base detection model in exchange for a comparably less drop in its recall."</v>
          </cell>
          <cell r="E789" t="str">
            <v>COMPUTER SCIENCE, ARTIFICIAL INTELLIGENCE|ENGINEERING, ELECTRICAL &amp; ELECTRONIC</v>
          </cell>
          <cell r="F789" t="str">
            <v>Text normalization,spell checker,tokenizers,long short-term memory,agglutinative languages</v>
          </cell>
          <cell r="H789" t="str">
            <v>Q4</v>
          </cell>
        </row>
        <row r="790">
          <cell r="B790" t="str">
            <v>10.5578/tt.20219611</v>
          </cell>
          <cell r="C790" t="str">
            <v>"In the last 50 years, there have been great research and developments in the definition and pathophysiology of acute respiratory distress syndrome (ARDS), the most progressive form of acute hypoxemic respiratory failure. Although there are various discussions and recommendations, the definition of ARDS is still based on the Berlin 2012 diagnostic criteria. Despite various studies in recent years, there is still no effective pharmacotherapeutic agent for the treatment of ARDS. Lung protective mechanical ventilation (low tidal volume, low plateau pressure, low driving pressure) in all ARDS patients, prone position, neuromuscular blockade (cisatracurium) in moderate-severe ARDS patients, and hydrocortisone therapy in sepsis-associated ARDS patients are treatments that contribute to survival. In this review, current changes in the definition and epidemiology of ARDS, recent pharmacotherapeutic research and mesenchymal stem cell therapies will be discussed in the light of newly introduced ARDS phenotypes."</v>
          </cell>
          <cell r="E790" t="str">
            <v>RESPIRATORY SYSTEM</v>
          </cell>
          <cell r="F790" t="str">
            <v>Acute respiratory distress syndrome,phenotypes,pharmacother-apeutic,mesenchymal stem cell therapy</v>
          </cell>
          <cell r="H790" t="str">
            <v>Q4</v>
          </cell>
        </row>
        <row r="791">
          <cell r="B791" t="str">
            <v>10.5578/tt.20219811</v>
          </cell>
          <cell r="C791" t="str">
            <v>"Introduction\nCoronavirus disease 2019 (COVID-19) has a 1-2% fatality rate, where no specific treatment has yet been defined. Although corticosteroids are recommended for selected COVID-19 patients without acute respiratory distress syndrome (ARDS) and septic shock, there is no consensus regarding patient subgroups, dose, and duration. In this study, it was aimed to examine the contribution of corticosteroid treatment to the management of COVID-19 pneumonia without ARDS, septic shock both in acute and recovery setting.\n\n\nMaterials and Methods\nThe study population was divided into two as those who used corticosteroids during the recovery phase (who did not develop sufficient radiological or clinical improvement) and those who did so during the activation phase (non-ARDS/septic shock condition, clinical, laboratory or radiological progression).\n\n\nResult\nWe identified 47 patients, 26 of which were males, and mean age was 60.5 Â± 16.5 years. Seventeen patients were found to receive corticosteroids during the recovery phase and the rest (n= 30) during the activation period. After corticosteroid therapy, we found reduction of increased pre-treatment levels of D-dimer, ferritin, fibrinogen, CRP, increment of decreased pre-treatment lymphocyte count and saturation. Complete symptomatic improvement was detected in 6.9% and 17.6% of the patients in the activation phase and recovery phase, respectively. Complete radiological improvement was found in 11.5% and 35.3% of the patients in the activation phase and recovery phase, respectively. While corticosteroid treatment was initiated on day 4.2 Â± 2.6 and continued for a mean of 5.9 Â± 2.8 days in the activation group, it was started on day 8.1 Â± 11.3 and administered for 7.8 Â± 3.8 days in the recovery group. In both groups, methylprednisolone was given at a median dose of 40 mg/day.\n\n\nConclusions\nShort-term low-dose corticosteroid therapy may improve clinical, radiological, laboratory outcomes in the management of COVID-19 pneumonia during the activation period without ARDS and non-septic shock and during recovery period with no satisfactory response. Further randomized controlled studies will be useful in demonstrating its efficacy."</v>
          </cell>
          <cell r="E791" t="str">
            <v>RESPIRATORY SYSTEM</v>
          </cell>
          <cell r="F791" t="str">
            <v>COVID-19,methylprednisolone,corticosteroid</v>
          </cell>
          <cell r="H791" t="str">
            <v>Q4</v>
          </cell>
        </row>
        <row r="792">
          <cell r="B792" t="str">
            <v>10.5603/FM.a2021.0041</v>
          </cell>
          <cell r="C792" t="str">
            <v>"BACKGROUND\nUrinary system stones are frequently encountered in the community. Together with technological developments, introduction of new treatment procedures such as extracorporeal shock wave lithotripsy, percutaneous nephrolithotomy and retrograde intrarenal surgery has furtherly reduced morbidity, mortality and hospitalization time of patients. In order to maximize success and to reduce complications of these procedures, it is necessary to evaluate anatomy and morphological differences of kidney collector system before the procedure. This study was conducted for the purpose of determining the morphology of the kidney collector system and the negative anatomic factors of the lower pole in autopsy cases performed in our institution.\n\n\nMATERIALS AND METHODS\n82 kidney units obtained from 41 autopsy cases conducted in Faculty of Medicine Department of Forensic Medicine, Sivas Cumhuriyet University between September 2017 and September 2018 were included in the study. Percentages were found as 78% for intrarenal pelvis, 13.4% for borderline pelvis, %6.1 for extrarenal pelvis and 2.4% for pelvic nonexistence. When pelvicalyceal anatomy was evaluated, percentages were found as 32.9% for bicalyceal, 26.8% for tricalyceal, 20.7% for multicalyceal and 19.5% for unclassified calyceality. When it is evaluated according to opening of calyces into the renal pelvis based on Sampaio classification, percentages were found as 30.5% for AI, 17.1% for Type II, 28% for BI, 18.3% for BII and 6.1% for unevaluated part. Infundibular lengths of kidney's lower pole were detected as under 3 cm in 39% and over 3 cm in 61% of all cases. Infundibulopelvic angles of kidney's lower pole were measured as under 70â° in 42.7% and over 70â° in 57.3% of all cases.\n\n\nRESULTS\nIn our study, there was no statistically significant difference between the right and left kidneys in terms of collecting system morphology and lower pole's negative anatomical factors. Only infindibular lengths which is one of the collecting system morphology and lower pole's negative anatomical factors were statistically shorter in females than males. There was no difference in terms of other parameters.\n\n\nCONCLUSIONS\nIn conclusion, the findings of this study are largely consistent with the results of similar studies. This reveals that renal collecting system morphology and negative anatomic factors in the lower pole collecting system in human are roughly similar. In clinical practice, pre-treatment CT and, if necessary, MR urography evaluation of the lower pole negative anatomic factors may contribute to gain preliminary information about both the clearance of stone fragments especially after SWL and RIRS procedures and perioperative complications proactively."</v>
          </cell>
          <cell r="E792" t="str">
            <v>ANATOMY &amp; MORPHOLOGY</v>
          </cell>
          <cell r="F792" t="str">
            <v>infundibulopelvic angle,infundibulopelvic anatomy,kidney anatomy,post-mortem morphology,kidney morphology,urology</v>
          </cell>
          <cell r="H792" t="str">
            <v>Q3</v>
          </cell>
        </row>
        <row r="793">
          <cell r="B793" t="str">
            <v>10.5606/tgkdc.dergisi.2021.21660</v>
          </cell>
          <cell r="C793" t="str">
            <v>"Takotsubo cardiomyopathy (left ventricular apical balloon syndrome) is characterized by transient apical ballooning, leading to apical systolic dysfunction. This syndrome typically mimics acute coronary syndrome in terms of electrocardiographic changes and cardiac enzyme release. Although its exact pathophysiology is still unclear, it is thought to be due to stress related to the catecholaminergic discharge. It is usually seen on postmenopausal women. Herein, we report a 78-year-old female patient with Takotsubo cardiomyopathy admitted to the orthopedic surgery clinic due to a femoral fracture and had no complication after surgery."</v>
          </cell>
          <cell r="E793" t="str">
            <v>SURGERY</v>
          </cell>
          <cell r="F793" t="str">
            <v>Acute coronary syndrome,angina,Takotsubo cardiomyopathy,stress</v>
          </cell>
          <cell r="H793" t="str">
            <v>Q4</v>
          </cell>
        </row>
        <row r="794">
          <cell r="B794" t="str">
            <v>10.5606/tgkdc.dergisi.2022.21672</v>
          </cell>
          <cell r="C794" t="str">
            <v>"Background This study aims to evaluate humoral immune system response by measuring copy numbers of kappa-deleting recombination excision circles (KREC) gene segment from B lymphocytes in patients with lung transplantation. Methods Between September 2015 and November 2016, a total of 11 patients (8 males, 3 females; mean age: 45.4Â±12.0 years; range, 23 to 59 years) who underwent lung transplantation with different primary indications were included. The copy numbers of KREC gene segment were quantified using real-time polymerase chain reaction method in peripheral blood samples collected pre- and post-transplantation. The samples of the patients were compared with the KREC l evels i n deoxyribonucleic acid extracted from blood samples of healthy children. Results There was no significant change in KREC levels between pre- and post-operation (p=0.594 and p=0.657), although the median values indicated that the highest increase in the KREC levels (7x105- 12x105; 85-170) was on Day 7 of transplantation. There was a positive correlation between the KREC levels (mL in blood) and lymphocytes at 24 h after transplantation (p=0.043) and between KREC copies per 106 of blood and age on Day 7. Conclusion Our preliminary results suggest that KREC l evels a s an indicator of B lymphocyte production are elevated after lung transplantation. A prognostic algorithm by tracking B cell kinetics after post-transplantation for long-term follow-up can be developed following the confirmation of these preliminary results with more patient samples."</v>
          </cell>
          <cell r="E794" t="str">
            <v>SURGERY</v>
          </cell>
          <cell r="F794" t="str">
            <v>B lymphocyte,immune system,kappa-deleting recombination excision circle,lung transplantation</v>
          </cell>
          <cell r="H794" t="str">
            <v>Q4</v>
          </cell>
        </row>
        <row r="795">
          <cell r="B795" t="str">
            <v>10.5606/tgkdc.dergisi.2022.22736</v>
          </cell>
          <cell r="C795" t="str">
            <v>"Background: The aim of this study was to evaluate the characteristics and the outcomes of combined percutaneous pharmacomechanical thrombectomy with selective catheter-directed thrombolysis for acute iliofemoral deep vein thrombosis. \nMethods: Between March 2018 and February 2020, a total of 37 patients (21 males, 16 females; mean age: 55Â±13.8 years; range, 21 to 79 years) with symptomatic acute iliofemoral vein thrombosis who underwent combined percutaneous pharmacomechanical thrombectomy and catheter-directed thrombolysis were retrospectively analyzed. All patients received a three-step therapy: (i) insertion of a temporary inferior vena cava filter, (ii) percutaneous pharmacomechanical thrombectomy via rotational mechanical thrombectomy device with an adjuvant 0.15 mg/kg recombinant tissue-type plasminogen activator alteplase, and (iii) catheter-directed thrombolysis with continuous 1 mg/h tissue-type plasminogen activator alteplase. Data including demographic characteristics of the patients, bleeding complications, technical success, and adjuvant angioplasty rates were analyzed. The Kaplan-Meier analysis was used to evaluate freedom from re-thrombosis at 3, 6, and 12 months of follow-up was calculated. \nResults: The majority of the patients had left-sided (n=22, 59.4%) proximal deep vein thrombosis. Successful insertion of the inferior vena cava filter was achieved in 97.2% (n=36) of patients. The technical success rate was 89.1% (n=33). Adjuvant venous angioplasty was performed in four patients (10.8%) and no venous stents were used. No major bleeding was occurred, while minor bleeding was observed mostly in the form of hematuria (n=12, 32.4%). No mortality was observed. The 3, 6, and 12-month freedom from re-thrombosis rates were 96.3%, 92.6%, and 86.0%, respectively. \nConclusion: Combined percutaneous pharmacomechanical thrombectomy and catheter-directed thrombolysis seems to be an effective and safe treatment of the iliofemoral acute deep vein thrombosis with acceptable minor bleeding complications post-interventionally."</v>
          </cell>
          <cell r="E795" t="str">
            <v>SURGERY</v>
          </cell>
          <cell r="F795" t="str">
            <v>Acute iliofemoral deep vein thrombosis,catheter-directed thrombolysis,percutaneous pharmacomechanical thrombectomy,thrombolytic</v>
          </cell>
          <cell r="H795" t="str">
            <v>Q4</v>
          </cell>
        </row>
        <row r="796">
          <cell r="B796" t="str">
            <v>10.56300/LAGP3672</v>
          </cell>
          <cell r="C796" t="str">
            <v>"The current study comparatively examines the emotional intelligence and perfectionism of gifted and non-identified students. A total of 857 students participated in the study. Data were collected through the Positive and Negative Perfectionism Scale, which measures studentsâ€™ perfectionism levels and the Bar-On Emotional Quotient Inventory Youth Version EQ-i:YV, which measures studentsâ€™ emotional intelligence. Our findings indicate that gifted students' scores in the intrapersonal and adaptability subdimensions of emotional intelligence and their overall scores in emotional intelligence are higher than those of non-identified students; while non-identified studentsâ€™ average score of positive perfectionism is higher than that of the gifted students. Additionally, we found a negative correlation between positive impression and negative perfectionism in the non-identified group, while the correlation between these variables was positive amongst the gifted participants. Our findings may help design successful educational and guidance programmes for the gifted and their non-identified peers and in-service programmes for their teachers and counsellors.  Keywords: Giftedness, gifted, emotional intelligence, perfectionism, comparative"</v>
          </cell>
          <cell r="E796" t="str">
            <v>PSYCHOLOGY, EDUCATIONAL</v>
          </cell>
          <cell r="F796" t="str">
            <v>Giftedness,gifted,emotional intelligence,perfectionism,comparative</v>
          </cell>
          <cell r="H796" t="str">
            <v>Q4</v>
          </cell>
        </row>
        <row r="797">
          <cell r="B797" t="str">
            <v>10.57634/RCR5073</v>
          </cell>
          <cell r="C797" t="str">
            <v>"Membrane electron transfer underlies the central metabolic pathways for energy conversion. The photosynthetic and respiratory electron transport chains are complex apparatuses capable of generating a transmembrane proton gradient from sunlight or chemical energy. Recent exploitation of these apparatuses as energy convertors is of interest due to the availability and eco-friendliness of the biomaterial. Devices that utilize chemotrophic microorganisms to generate electricity have been known for over one hundred years. In these systems, called microbial fuel cells (MFC), one or more microorganisms catalyze charge transfer from a consumable substrate (acetate, glucose, &lt;i&gt;etc&lt;/i&gt;.) to the electrode. Recently, MFCs based on phototrophic organisms have been actively developed. These devices, called photosynthetic microbial fuel cells (PMFC), still resemble the conventional MFC in that they also use living microbial cells to convert chemicals to electrical energy. However, the distinction between these two classes of fuel cells is that the MFC utilizes only the chemical energy of the organic substrate. At the same time, PMFCs are also capable of using solar energy. Common to both devices is the ability to utilize intrinsic electron transfer chains of bacterial metabolism as the primary mechanism of energy conversion. The widespread and accessible solar energy may permit PMFCs based on photosynthesis to become an inexpensive and efficient method for sunlight conversion. MFCs based on heterotrophs may be more promising in wastewater remediation and other ecological applications. This article reviews the latest advances in this field and emphasizes the remaining challenges.&lt;br&gt;   The bibliography includes 205 references."</v>
          </cell>
          <cell r="E797" t="str">
            <v>CHEMISTRY, MULTIDISCIPLINARY</v>
          </cell>
          <cell r="H797" t="str">
            <v>Q1</v>
          </cell>
        </row>
        <row r="798">
          <cell r="B798" t="str">
            <v>10.5812/jjm-122990</v>
          </cell>
          <cell r="C798" t="str">
            <v>"Background: Antimicrobial resistance in ESKAPEEc (Enterococcus faecium, Staphylococcus aureus, Klebsiella pneumoniae, Acinetobacter baumannii, Pseudomonas aeruginosa, Enterobacter species, and Escherichia coli) pathogens causing bloodstream infections is a growing threat to clinicians and public health. Objectives: Our purpose was to determine the prevalence and susceptibility of ESKAPEEcs causing bloodstream infection over five years (2016 to 2020) at a large tertiary hospital in Istanbul, Turkey. Methods: Of 2591 unique isolates obtained from blood culture specimens, 1.281 (49.4%) were positive for ESKAPEEc pathogens. The ESKAPEEc rates increased from 2016 to 2019 and decreased during the COVID-19 pandemic. Results: The most common pathogen was K. pneumoniae (34.3%). Carbapenem resistant K. pneumoniae was 61.8% and A. baumannii was 90.4%. The percentages of methicillin-resistant S. aureus and vancomycin-resistant E. faecium were 38.6% and 29.4%, respectively. Conclusions: Our findings showed a high incidence of ESKAPEEc and antimicrobial resistance in bloodstream infections. Antibiotic policies and restrictions in health care settings and the community will play an essential role in the solution in the future."</v>
          </cell>
          <cell r="E798" t="str">
            <v>MICROBIOLOGY</v>
          </cell>
          <cell r="F798" t="str">
            <v>ESKAPEEc Pathogens,Bloodstream Infections,Antibacterial Agents,Antimicrobial Drug Resistance,Multidrug Resistance</v>
          </cell>
          <cell r="H798" t="str">
            <v>Q4</v>
          </cell>
        </row>
        <row r="799">
          <cell r="B799" t="str">
            <v>10.5812/jjm-140726</v>
          </cell>
          <cell r="C799" t="str">
            <v>"Background: Early immune responses to COVID-19 can help eliminate the virus; therefore, strategies to improve the immune system have become important in disease prevention. Vitamin D plays a crucial role in the immune response to SARS-CoV-2 by increasing the expression of the vitamin D receptor. Objectives: This study investigated the impact of vitamin D deficiency, Fok 1, and Taq 1 Vitamin D Receptor (VDR) gene polymorphisms and comorbidities on the susceptibility to COVID-19. Methods: Fok1 and Taq1 polymorphisms were analyzed using the RT-PCR method, and vitamin D levels were measured using the chemiluminescence method. A total of 200 patients, 100 with COVID-19 and 100 without, provided blood samples for analysis. Results: The COVID-19 positive group had a significantly lower mean vitamin D level of 16.2 Â± 11.3 ng/mL compared to the COVID-19 negative control group, 26.7 Â± 15.9 ng/mL (P &lt; 0.001). Individuals with a vitamin D level below 18.4 ng/mL had a 2.448 times higher risk of COVID-19 positivity (P &lt; 0.001). There was no significant difference in the Fok1 and Taq1 gene polymorphisms between the two groups. (P = 0.548 and P = 0.098). The COVID-19 positive group had a significantly higher number of comorbid diseases with 40 (40%) compared to the negative group with 10 (10%) participants (P &lt; 0.001). Conclusions: Levels of vitamin D above the cut-off value of 18.4 ng/mL were found to protect against COVID-19, while the presence of comorbid diseases was identified as a risk factor. However, no association was observed between the Fok1 and Taq1 polymorphisms and susceptibility to COVID-19."</v>
          </cell>
          <cell r="E799" t="str">
            <v>MICROBIOLOGY</v>
          </cell>
          <cell r="F799" t="str">
            <v>Vitamin D Deficiency,COVID-19 Receptors,Calcitriol,Genetic Polymorphism,Comorbidity</v>
          </cell>
          <cell r="H799" t="str">
            <v>Q4</v>
          </cell>
        </row>
        <row r="800">
          <cell r="B800" t="str">
            <v>10.5812/jjm.120801</v>
          </cell>
          <cell r="C800" t="str">
            <v>"Background: Candida species have emerged as one of the most common causes of bloodstream infections (BSIs). There are limited data on the distribution of Candida spp. and susceptibility by year. Objectives: In this study, we analyzed changes in the distribution of Candida spp. and their antifungal susceptibility profiles from blood cultures. Methods: Records from January 2016 to December 2020 were obtained from the microbiology laboratory in Istanbul. Antifungal susceptibility tests were performed using the VITEK 2 compact system and evaluated according to EUCAST breakpoints. A total of 241 unique candidemia episodes were included in this study. Results: Candida albicans was the predominant pathogen (n = 95, 39.42%), followed by C. parapsilosis (n = 82, 34.02%), C. glabrata (n = 18, 7.47%), C. tropicalis (n = 17, 7.05%), C. krusei (n = 15, 6.22%), and other Candida spp. (n = 14, 5.79%). There was no statistically significant difference in the percentage of episodes of Candida spp. After data analysis, a tendency to shift from C. albicans to C. parapsilosis was observed in the period analyzed in this study. Candida albicans was the most common species in intensive care units (ICUs), hematology and hemopoietic stem cell transplantation units, and surgical clinics, with C. parapsilosis predominant in medical clinics. In general, micafungin susceptibility was the highest, and fluconazole was the lowest. There was reduced sensitivity to fluconazole and voriconazole for C. albicans and C. parapsilosis over 5 years. Conclusions: Detecting changes in the distribution of Candida spp. and antifungal susceptibility over time will lead to the selection of appropriate empirical therapy and monitor phenomena of antifungal resistance. Empirical treatment with antifungal agents is associated with high costs, toxicities, and risk of antifungal resistance. Therefore, it is mandatory to determine and monitor Candida spp. and antifungal susceptibility testing to select appropriate antifungal agents."</v>
          </cell>
          <cell r="E800" t="str">
            <v>MICROBIOLOGY</v>
          </cell>
          <cell r="F800" t="str">
            <v>Antifungal Drugs,Candida albicans,Drug Susceptibility,Non-albicans Candida Species</v>
          </cell>
          <cell r="H800" t="str">
            <v>Q4</v>
          </cell>
        </row>
        <row r="801">
          <cell r="B801" t="str">
            <v>10.5817/CP2022-3-4</v>
          </cell>
          <cell r="C801" t="str">
            <v>"During the COVID-19 period, the use of social network sites (SNSs) has been reported to increase. The present study aimed to explore whether, on balance, their use serves the well-being of university students positively as a source of social capital and entertainment, or negatively as a source of information about the COVID-19 pandemic. It focused on a sample of 339 university students, a group which is known to have aÂ high risk of well-being problems. Students completed the demographic information form, the use of SNSs form, and the World Health Organization Well-Being Index. TheÂ use of SNSs form included items on SNS use in terms of daily duration, usage patterns (active and passive use) and reasons with regard to social capital (bridging and bonding social capital) and entertainment, and the perceived change in these quantitative and qualitative aspects of SNS use compared to the pre-COVID period. ItÂ also measured the level of exposure to COVID-19 related information on SNSs. It was found that the increase in the duration of SNS use predicted the well-being score negatively whereas the increase in active use and use for bonding social capital related reasons predicted it positively. These findings suggest that the quantity and the quality of SNS use are differently related to the well-being of university students. The active use of SNSs, particularly for the purpose of connecting with the close networks might constitute protective factors for student well-being in the case of health emergencies like the COVID-19 pandemic. "</v>
          </cell>
          <cell r="E801" t="str">
            <v>COMMUNICATION|PSYCHOLOGY, MULTIDISCIPLINARY</v>
          </cell>
          <cell r="F801" t="str">
            <v>social network sites,COVID-19,well-being,pandemic,social capital,entertainment</v>
          </cell>
          <cell r="H801" t="str">
            <v>Q2</v>
          </cell>
        </row>
        <row r="802">
          <cell r="B802" t="str">
            <v>10.5935/1984-0063.20220003</v>
          </cell>
          <cell r="C802" t="str">
            <v>"Excessive daytime sleepiness (EDS) is a common complaint encountered in clinical practice with serious consequences both for individual and society since it can increase the ratio of motor vehicle accidents, work- related incidents, and deaths. Moreover, it also manifests less serious individual consequences. This study aimed to investigate the potential role of PER3-VNTR, 5-HTT-LPR, and 5-HTT-VNTR in terms of constituting liability to EDS. Two hundred eighteen participants (93 complaining about daytime sleepiness and 125 individuals with no serious complaint) were recruited in the study. General daytime of sleepiness was quantified with Epworth sleepiness scale (ESS). DNA extractions were performed from collected blood samples with standart salting-out procedure and genotyped. ESS scores displayed difference between individuals suffering from sleep disturbances and other individuals with values of 12.75Â±4.55 and 6.34Â±4.26, respectively. PER3- VNTR and 5-HTT-LPR genotypes did not display association with mean ESS scores. However, 5-HTT-VNTR genotypes showed significant association with mean ESS scores; individuals with 10/10 genotypes had the highest ESS score reflecting this genotype as a liability factor for EDS. We strongly recommend further studies based on circadian/serotonin pathway genes in different populations to reach to a consensus and highlight sleep genetic marker genes which then can be the future targets of pharmacological treatment studies for sleep problems."</v>
          </cell>
          <cell r="E802" t="str">
            <v>CLINICAL NEUROLOGY</v>
          </cell>
          <cell r="F802" t="str">
            <v>Neurogenetics,Excessive daytime sleepiness (EDS),Epworth Sleepiness Scale (ESS),PER3,Serotonin transporter (5-HTT),Genetic association</v>
          </cell>
          <cell r="H802" t="str">
            <v>Q4</v>
          </cell>
        </row>
        <row r="803">
          <cell r="B803" t="str">
            <v>10.7227/BJRL.97.1.5</v>
          </cell>
          <cell r="C803" t="str">
            <v>"Hutchinsonianism, a set of ideas developed by John Hutchinson, did not necessarily command considerable respect among intellectuals in the eighteenth century. Hutchinson held that science was divine in origin and was rooted in the Old Testament. He denied the Newtonian principle of gravity and argued that God was necessary for the application of physical laws. He also developed a highly symbolic interpretation of religious ideas. George Horne (1730â€“92) was an exception in taking Hutchinsonianism seriously. Horneâ€™s ideas aimed at uniting Christian orthodoxy against a common enemy, particularly those who undermined Trinitarian Christianity. This article examines Horneâ€™s ideas as a Hutchinsonianism and explores his debt to Hutchinson. Horne also can be regarded as the most important representative of the Oxford Hutchinsonians of his generation, in the sense that his orthodoxy and adherence to Hutchinsonâ€™s ideas were aimed at finding a common ground between the two."</v>
          </cell>
          <cell r="E803" t="str">
            <v>HUMANITIES, MULTIDISCIPLINARY</v>
          </cell>
          <cell r="F803" t="str">
            <v>George Horne,Hutchinsonianism,William Jones,Oxford</v>
          </cell>
          <cell r="H803" t="str">
            <v>Q1</v>
          </cell>
        </row>
        <row r="804">
          <cell r="B804" t="str">
            <v>10.7727/wimj.2016.578</v>
          </cell>
          <cell r="C804" t="str">
            <v>"Objective: The aims of this study were to evaluate autopsy findings in hypothermia-related deaths in Van Province (Turkey), the city which is near the Turkey-Iran border. Methods: Autopsy reports of 43 hypothermia fatalities were retrospectively reviewed. Data about age, gender, nationality of cases, seasonality of deaths, crime scene findings, autopsy findings, manner of deaths, risk factors for hypothermia, other traumatic lesions and toxicology were obtained from autopsy records and scene investigation records. Results: There were 36 males and 7 females. The mean age was 20.5. More than half of the cases died or were found dead in the spring months. All but one of the cases was found dead outdoors. There were common red colored livor mortis in 33 cases (76.7%), antemortem traumas in 16 cases (37.2%), cold erythema in 26 cases (60.5%), myxedema in one case, bloody discoloration in the synovial fluid in 11 (84.6%) cases, Wischnewski spots in 32 cases (74.4%). Conclusion: Illegal refugees are an important social problem in Turkey. Hypothermia should be considered as a cause of death for refugees when they are found especially in the cold provinces. In the diagnosis of hypothermia bloody discoloration of the synovial fluid is confirmed to be a valuable finding. Wischnewski spots remain valuable for positive identification."</v>
          </cell>
          <cell r="E804" t="str">
            <v>MEDICINE, GENERAL &amp; INTERNAL</v>
          </cell>
          <cell r="F804" t="str">
            <v>Autopsy findings,crime scene findings,hypothermia,synovial fluid,Wischnewski spots</v>
          </cell>
          <cell r="H804" t="str">
            <v>Q4</v>
          </cell>
        </row>
        <row r="805">
          <cell r="B805" t="str">
            <v>10.7727/wimj.2016.588</v>
          </cell>
          <cell r="C805" t="str">
            <v>"Objective: The aims of this article are to report largest series of lightning-related deaths in Turkey, to review the literature about this subject, to define similarities and differences, between autopsy findings of the presented series and literature information. Methods: In this article, autopsy reports and crime scene investigation data of 11 lightningrelated fatalities that occurred in Van and Hakkari Provinces (Turkey) from January 1 2011 to December 31, 2015 were retrospectively reviewed. Results: Eleven (2.53%) of 1,699 deaths which evaluated by medico-legal autopsy in Van and Hakkari Province in five years period, died due to lightning strikes. Of these cases, 10 (90.1%) were males and 1 (9.9%) was female (p&lt;0.05). All cases between 11 and 33 age range. All cases was injured outdoors. Conclusion: We think that, the number of deaths due to lightning strike, that has seen relatively rare in Turkey, may be reduced with additional personal precautions such as to avoid from staying under trees or the vicinity of a high tower, to avoid from touching with metal object, to avoid from to lie on the ground, to avoid from to lie on the ground, to avoid from leaning against a wall, to crouch outdoors or enter indoor such as a building or car."</v>
          </cell>
          <cell r="E805" t="str">
            <v>MEDICINE, GENERAL &amp; INTERNAL</v>
          </cell>
          <cell r="F805" t="str">
            <v>Autopsy,burns,lightning-related deaths,lightning strike</v>
          </cell>
          <cell r="H805" t="str">
            <v>Q4</v>
          </cell>
        </row>
        <row r="806">
          <cell r="B806" t="str">
            <v>10.7754/Clin.Lab.2020.201137</v>
          </cell>
          <cell r="C806" t="str">
            <v>"BACKGROUND\nThe debridement of necrotic and infected tissues, which prolong the wound healing process, is important for the preparation of the wound bed. Therefore, wound-bed preparation and debridement are vital components of venous leg ulcer management. We aimed to present a perspective to evaluate the clinical and microbiological efficacy of Maggot Debridement Therapy (MDT) in the treatment of chronic leg ulcers caused by venous insufficiency.\n\n\nMETHODS\nThirty-eight patients with chronic venous leg ulcers who were referred to our unit with an MDT request were included in the study. Lucilia sericata larvae were applied to the wounds two days a week until the necrotic tissue was cleared. Swab samples were regularly taken before and immediately after each larval application for wound culture. Changes in the percentage of wound surface area and growing pathogenic microorganisms were recorded during the follow-up period.\n\n\nRESULTS\nThe sample consisted of 38 patients with 55 venous leg ulcers. The mean initial ulcer surface area was 99.1 cm2 (range 3 - 500). Complete debridement was achieved in all ulcers in the 2nd week, on average. Twenty-five ulcers (45.5%) were completely debrided with two one-week MDT sessions. Complete wound healing occurred in 42 ulcers (76.4%) after an average of seven MDT sessions. Microorganisms isolated from the wounds significantly decreased immediately after the first MDT session.\n\n\nCONCLUSIONS\nAlthough many methods are used in the treatment of venous leg ulcers, they are often not effective. MDT, which is coming into widespread use today, is a simple and effective method in the treatment of these ulcers. Its effects such as biodebridement, disinfection, and growth stimulation can encourage the rapid healing of chronic venous leg ulcers."</v>
          </cell>
          <cell r="E806" t="str">
            <v>MEDICAL LABORATORY TECHNOLOGY</v>
          </cell>
          <cell r="F806" t="str">
            <v>venous leg ulcers,maggot debridement therapy,venous insufficiency,microorganisms</v>
          </cell>
          <cell r="H806" t="str">
            <v>Q4</v>
          </cell>
        </row>
        <row r="807">
          <cell r="B807" t="str">
            <v>10.7860/JCDR/2023/60060.18204</v>
          </cell>
          <cell r="C807" t="str">
            <v>"Introduction: The management of anxiety and fears in patients receiving medical treatment has always been a significant issue. Patients with dental anxiety are challenging to manage in dental offices, as they may require more time for treatment and are often dissatisfied with their dental care, especially among paediatric dental patients. Although Augmented Reality (AR) has not been widely used in dentistry, it is theoretically believed to have a role in alleviating dental anxiety among paediatric patients.  Aim: The aim of this study is to explore the level of dental anxiety among children aged 6-14 years, based on age, gender, and treatment status. Additionally, the study aims to investigate whether the preoperative use of AR can alleviate anxiety. The effect of AR on anxiety was evaluated using Corahâ€™s Dental Anxiety Scale (DAS).  Materials and Methods: This randomised controlled study was conducted at a private dental clinic in Bahcesehir University, Istanbul, Turkey. The study duration was two months, from March 2021 to May 2021. The study design aimed to compare the level of anxiety among paediatric patients in an AR exposure condition with those in a control condition. A total of 511 paediatric patients were randomly assigned to either the control group or the intervention condition (i.e., preoperative AR experience versus no preoperative AR experience). A questionnaire survey, including demographic questions and the DAS, was conducted to compare the DAS scores between patients who engaged in the AR experience and those who did not. The data were analysed using the Chi-square test, the Kruskal-Wallis test, and the Mann-Whitney U test.  Results: The control group consisted of 134 females and 118 males, while the experimental group consisted of 139 females and 120 males. The mean DAS scores differed based on age (p&lt;0.001). The median DAS score of the 10-14 years age group was lower than that of the 6-8 years age group. The mean DAS score was significantly lower in the group that received AR intervention compared to the control group (p&lt;0.001). The median DAS score was 6 for those with AR experience, while it was 10 for those without it.  Conclusion: The preoperative use of AR applications was found to be effective in reducing dental anxiety among children in this study. AR shows promise as a tool that has not been sufficiently utilised among anxiety-relieving techniques for paediatric patients."</v>
          </cell>
          <cell r="E807" t="str">
            <v>MEDICINE, GENERAL &amp; INTERNAL</v>
          </cell>
          <cell r="F807" t="str">
            <v>Anxiety-reducing techniques,Dental Anxiety Scale,Distraction</v>
          </cell>
          <cell r="H807" t="str">
            <v>Q4</v>
          </cell>
        </row>
        <row r="808">
          <cell r="B808" t="str">
            <v>10.9775/kvfd.2020.25194</v>
          </cell>
          <cell r="C808" t="str">
            <v>"In surgical operations, anastomoses are often preferred for the functionality of the gastrointestinal tract. It has been well known that\nanastomotic leakages are one of the most serious complications causing high mortality and morbidity. In this experimental study,\nbacterial cellulose was used to prevent leakage after colon anastomosis as a wound healing agent. The preventive eff ects of bacterial\ncellulose, which is often preferred in surgical interventions, on colon leakage were investigated. In our study, colonic anastomosis was\nperformed on 20 Sprague-Dawley rats. In the control group, primary anastomosis was performed on 10 animals. In the experimental\ngroup, primary anastomosis followed by cellulose cover along the anastomosis line was performed on 10 animals. After 7 days,\nanastomotic bursting pressure was measured and histopathological examinations were performed. According to the findings of our\nstudy, the bursting pressure increased with bacterial cellulose application. On the other hand, histopathological examinations, bacterial\ncellulose group showed a significant increase in the fibroblast density, eosinophil density, and collagen density. As a result, bacterial\ncellulose has been shown to accelerate wound healing mechanically and histopathologically. In our study, it has been demonstrated\nthat bacterial cellulose can be used as a physical barrier with biological properties to prevent leakage after colon anastomosis. Besides,\nour study will shed light on the advanced clinical studies to be conducted on the eff ect of bacterial cellulose preventing anastomotic\nleakage, and we claim that bacterial cellulose may be used for this purpose in the near future."</v>
          </cell>
          <cell r="E808" t="str">
            <v>VETERINARY SCIENCES</v>
          </cell>
          <cell r="F808" t="str">
            <v>Anastomosis,Bacterial cellulose,Colonic leakage,Rat</v>
          </cell>
          <cell r="H808" t="str">
            <v>Q3</v>
          </cell>
        </row>
      </sheetData>
      <sheetData sheetId="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927C-4917-494D-A699-8FB9D4AD7748}">
  <dimension ref="A1:C89"/>
  <sheetViews>
    <sheetView tabSelected="1" workbookViewId="0">
      <selection activeCell="C9" sqref="C9"/>
    </sheetView>
  </sheetViews>
  <sheetFormatPr defaultRowHeight="14.4" x14ac:dyDescent="0.3"/>
  <cols>
    <col min="1" max="1" width="46.33203125" customWidth="1"/>
    <col min="2" max="2" width="33.33203125" customWidth="1"/>
    <col min="3" max="3" width="22.21875" customWidth="1"/>
  </cols>
  <sheetData>
    <row r="1" spans="1:3" ht="23.4" x14ac:dyDescent="0.45">
      <c r="A1" s="1" t="s">
        <v>0</v>
      </c>
      <c r="B1" s="1"/>
      <c r="C1" s="1"/>
    </row>
    <row r="2" spans="1:3" ht="15.6" x14ac:dyDescent="0.3">
      <c r="A2" s="2" t="s">
        <v>1</v>
      </c>
      <c r="B2" s="2"/>
      <c r="C2" s="2"/>
    </row>
    <row r="4" spans="1:3" ht="18" x14ac:dyDescent="0.35">
      <c r="A4" s="3" t="s">
        <v>2</v>
      </c>
      <c r="B4" s="3"/>
    </row>
    <row r="5" spans="1:3" x14ac:dyDescent="0.3">
      <c r="A5" s="4" t="s">
        <v>3</v>
      </c>
      <c r="B5" s="4" t="s">
        <v>4</v>
      </c>
    </row>
    <row r="6" spans="1:3" x14ac:dyDescent="0.3">
      <c r="A6" t="s">
        <v>5</v>
      </c>
      <c r="B6">
        <f>COUNTA('[1]test (1)'!B:B)-1</f>
        <v>807</v>
      </c>
    </row>
    <row r="7" spans="1:3" x14ac:dyDescent="0.3">
      <c r="A7" t="s">
        <v>6</v>
      </c>
      <c r="B7">
        <v>9</v>
      </c>
    </row>
    <row r="8" spans="1:3" x14ac:dyDescent="0.3">
      <c r="A8" t="s">
        <v>7</v>
      </c>
      <c r="B8">
        <f>COUNTA('[1]test (1)'!B:B)-1</f>
        <v>807</v>
      </c>
    </row>
    <row r="9" spans="1:3" x14ac:dyDescent="0.3">
      <c r="A9" t="s">
        <v>8</v>
      </c>
      <c r="B9">
        <f>COUNTA('[1]test (1)'!C:C)-1</f>
        <v>807</v>
      </c>
    </row>
    <row r="10" spans="1:3" x14ac:dyDescent="0.3">
      <c r="A10" t="s">
        <v>9</v>
      </c>
      <c r="B10">
        <v>1</v>
      </c>
    </row>
    <row r="11" spans="1:3" x14ac:dyDescent="0.3">
      <c r="A11" t="s">
        <v>10</v>
      </c>
      <c r="B11" t="s">
        <v>11</v>
      </c>
    </row>
    <row r="13" spans="1:3" ht="18" x14ac:dyDescent="0.35">
      <c r="A13" s="3" t="s">
        <v>12</v>
      </c>
      <c r="B13" s="3"/>
      <c r="C13" s="3"/>
    </row>
    <row r="14" spans="1:3" x14ac:dyDescent="0.3">
      <c r="A14" s="4" t="s">
        <v>13</v>
      </c>
      <c r="B14" s="4" t="s">
        <v>14</v>
      </c>
      <c r="C14" s="4" t="s">
        <v>15</v>
      </c>
    </row>
    <row r="15" spans="1:3" x14ac:dyDescent="0.3">
      <c r="A15" t="s">
        <v>16</v>
      </c>
      <c r="B15">
        <f>COUNTIF('[1]test (1)'!H:H,"Q1")</f>
        <v>159</v>
      </c>
      <c r="C15" s="5">
        <f>B15/B6*100</f>
        <v>19.702602230483272</v>
      </c>
    </row>
    <row r="16" spans="1:3" x14ac:dyDescent="0.3">
      <c r="A16" t="s">
        <v>17</v>
      </c>
      <c r="B16">
        <f>COUNTIF('[1]test (1)'!H:H,"Q2")</f>
        <v>211</v>
      </c>
      <c r="C16" s="5">
        <f>B16/B6*100</f>
        <v>26.146220570012389</v>
      </c>
    </row>
    <row r="17" spans="1:3" x14ac:dyDescent="0.3">
      <c r="A17" t="s">
        <v>18</v>
      </c>
      <c r="B17">
        <f>COUNTIF('[1]test (1)'!H:H,"Q3")</f>
        <v>191</v>
      </c>
      <c r="C17" s="5">
        <f>B17/B6*100</f>
        <v>23.667905824039654</v>
      </c>
    </row>
    <row r="18" spans="1:3" x14ac:dyDescent="0.3">
      <c r="A18" t="s">
        <v>19</v>
      </c>
      <c r="B18">
        <f>COUNTIF('[1]test (1)'!H:H,"Q4")</f>
        <v>246</v>
      </c>
      <c r="C18" s="5">
        <f>B18/B6*100</f>
        <v>30.483271375464682</v>
      </c>
    </row>
    <row r="19" spans="1:3" x14ac:dyDescent="0.3">
      <c r="A19" s="6" t="s">
        <v>20</v>
      </c>
      <c r="B19" s="6">
        <f>SUM(B15:B18)</f>
        <v>807</v>
      </c>
      <c r="C19" s="7">
        <f>SUM(C15:C18)</f>
        <v>100</v>
      </c>
    </row>
    <row r="20" spans="1:3" x14ac:dyDescent="0.3">
      <c r="A20" s="8" t="s">
        <v>21</v>
      </c>
    </row>
    <row r="21" spans="1:3" x14ac:dyDescent="0.3">
      <c r="A21" t="str">
        <f>CONCATENATE("   %",ROUND((B15+B16)/B6*100,1)," makale Q1 ve Q2 kategorisinde yayınlanmıştır.")</f>
        <v xml:space="preserve">   %45.8 makale Q1 ve Q2 kategorisinde yayınlanmıştır.</v>
      </c>
    </row>
    <row r="23" spans="1:3" ht="18" x14ac:dyDescent="0.35">
      <c r="A23" s="3" t="s">
        <v>22</v>
      </c>
      <c r="B23" s="3"/>
    </row>
    <row r="24" spans="1:3" x14ac:dyDescent="0.3">
      <c r="A24" s="4" t="s">
        <v>23</v>
      </c>
      <c r="B24" s="4" t="s">
        <v>24</v>
      </c>
    </row>
    <row r="25" spans="1:3" x14ac:dyDescent="0.3">
      <c r="A25" t="s">
        <v>25</v>
      </c>
      <c r="B25" t="s">
        <v>26</v>
      </c>
    </row>
    <row r="26" spans="1:3" x14ac:dyDescent="0.3">
      <c r="A26" t="s">
        <v>27</v>
      </c>
      <c r="B26" t="s">
        <v>28</v>
      </c>
    </row>
    <row r="27" spans="1:3" x14ac:dyDescent="0.3">
      <c r="A27" t="s">
        <v>29</v>
      </c>
      <c r="B27" t="s">
        <v>30</v>
      </c>
    </row>
    <row r="28" spans="1:3" x14ac:dyDescent="0.3">
      <c r="A28" t="s">
        <v>31</v>
      </c>
      <c r="B28" t="s">
        <v>32</v>
      </c>
    </row>
    <row r="29" spans="1:3" x14ac:dyDescent="0.3">
      <c r="A29" t="s">
        <v>33</v>
      </c>
      <c r="B29" t="s">
        <v>34</v>
      </c>
    </row>
    <row r="30" spans="1:3" x14ac:dyDescent="0.3">
      <c r="A30" t="s">
        <v>35</v>
      </c>
      <c r="B30" t="s">
        <v>36</v>
      </c>
    </row>
    <row r="31" spans="1:3" x14ac:dyDescent="0.3">
      <c r="A31" t="s">
        <v>37</v>
      </c>
      <c r="B31" t="s">
        <v>38</v>
      </c>
    </row>
    <row r="32" spans="1:3" x14ac:dyDescent="0.3">
      <c r="A32" t="s">
        <v>39</v>
      </c>
      <c r="B32" t="s">
        <v>40</v>
      </c>
    </row>
    <row r="33" spans="1:3" x14ac:dyDescent="0.3">
      <c r="A33" t="s">
        <v>41</v>
      </c>
      <c r="B33" t="s">
        <v>42</v>
      </c>
    </row>
    <row r="35" spans="1:3" ht="18" x14ac:dyDescent="0.35">
      <c r="A35" s="3" t="s">
        <v>43</v>
      </c>
      <c r="B35" s="3"/>
      <c r="C35" s="3"/>
    </row>
    <row r="36" spans="1:3" x14ac:dyDescent="0.3">
      <c r="A36" s="4" t="s">
        <v>44</v>
      </c>
      <c r="B36" s="4" t="s">
        <v>13</v>
      </c>
      <c r="C36" s="4" t="s">
        <v>14</v>
      </c>
    </row>
    <row r="37" spans="1:3" x14ac:dyDescent="0.3">
      <c r="A37">
        <v>1</v>
      </c>
      <c r="B37" t="s">
        <v>45</v>
      </c>
      <c r="C37">
        <f>COUNTIF('[1]test (1)'!E:E,"*Medicine, General &amp; Internal*")</f>
        <v>55</v>
      </c>
    </row>
    <row r="38" spans="1:3" x14ac:dyDescent="0.3">
      <c r="A38">
        <v>2</v>
      </c>
      <c r="B38" t="s">
        <v>46</v>
      </c>
      <c r="C38">
        <f>COUNTIF('[1]test (1)'!E:E,"*Materials Science, Multidisciplinary*")</f>
        <v>42</v>
      </c>
    </row>
    <row r="39" spans="1:3" x14ac:dyDescent="0.3">
      <c r="A39">
        <v>3</v>
      </c>
      <c r="B39" t="s">
        <v>47</v>
      </c>
      <c r="C39">
        <f>COUNTIF('[1]test (1)'!E:E,"*Surgery*")</f>
        <v>63</v>
      </c>
    </row>
    <row r="40" spans="1:3" x14ac:dyDescent="0.3">
      <c r="A40">
        <v>4</v>
      </c>
      <c r="B40" t="s">
        <v>48</v>
      </c>
      <c r="C40">
        <f>COUNTIF('[1]test (1)'!E:E,"*Mathematics, Applied*")</f>
        <v>40</v>
      </c>
    </row>
    <row r="41" spans="1:3" x14ac:dyDescent="0.3">
      <c r="A41">
        <v>5</v>
      </c>
      <c r="B41" t="s">
        <v>49</v>
      </c>
      <c r="C41">
        <f>COUNTIF('[1]test (1)'!E:E,"*Physics, Multidisciplinary*")</f>
        <v>37</v>
      </c>
    </row>
    <row r="42" spans="1:3" x14ac:dyDescent="0.3">
      <c r="A42">
        <v>6</v>
      </c>
      <c r="B42" t="s">
        <v>50</v>
      </c>
      <c r="C42">
        <f>COUNTIF('[1]test (1)'!E:E,"*Education*")</f>
        <v>40</v>
      </c>
    </row>
    <row r="43" spans="1:3" x14ac:dyDescent="0.3">
      <c r="A43">
        <v>7</v>
      </c>
      <c r="B43" t="s">
        <v>51</v>
      </c>
      <c r="C43">
        <f>COUNTIF('[1]test (1)'!E:E,"*Clinical Neurology*")</f>
        <v>31</v>
      </c>
    </row>
    <row r="44" spans="1:3" x14ac:dyDescent="0.3">
      <c r="A44">
        <v>8</v>
      </c>
      <c r="B44" t="s">
        <v>52</v>
      </c>
      <c r="C44">
        <f>COUNTIF('[1]test (1)'!E:E,"*Cardiac*")</f>
        <v>23</v>
      </c>
    </row>
    <row r="45" spans="1:3" x14ac:dyDescent="0.3">
      <c r="A45">
        <v>9</v>
      </c>
      <c r="B45" t="s">
        <v>53</v>
      </c>
      <c r="C45">
        <f>COUNTIF('[1]test (1)'!E:E,"*Dentistry*")</f>
        <v>22</v>
      </c>
    </row>
    <row r="46" spans="1:3" x14ac:dyDescent="0.3">
      <c r="A46">
        <v>10</v>
      </c>
      <c r="B46" t="s">
        <v>54</v>
      </c>
      <c r="C46">
        <f>COUNTIF('[1]test (1)'!E:E,"*Artificial Intelligence*")</f>
        <v>22</v>
      </c>
    </row>
    <row r="47" spans="1:3" x14ac:dyDescent="0.3">
      <c r="A47">
        <v>11</v>
      </c>
      <c r="B47" t="s">
        <v>55</v>
      </c>
      <c r="C47">
        <f>COUNTIF('[1]test (1)'!E:E,"*Obstetrics*")</f>
        <v>21</v>
      </c>
    </row>
    <row r="48" spans="1:3" x14ac:dyDescent="0.3">
      <c r="A48">
        <v>12</v>
      </c>
      <c r="B48" t="s">
        <v>56</v>
      </c>
      <c r="C48">
        <f>COUNTIF('[1]test (1)'!E:E,"*Electrical*")</f>
        <v>21</v>
      </c>
    </row>
    <row r="49" spans="1:3" x14ac:dyDescent="0.3">
      <c r="A49">
        <v>13</v>
      </c>
      <c r="B49" t="s">
        <v>57</v>
      </c>
      <c r="C49">
        <f>COUNTIF('[1]test (1)'!E:E,"*Psychiatry*")</f>
        <v>12</v>
      </c>
    </row>
    <row r="50" spans="1:3" x14ac:dyDescent="0.3">
      <c r="A50">
        <v>14</v>
      </c>
      <c r="B50" t="s">
        <v>58</v>
      </c>
      <c r="C50">
        <f>COUNTIF('[1]test (1)'!E:E,"*Information Systems*")</f>
        <v>19</v>
      </c>
    </row>
    <row r="51" spans="1:3" x14ac:dyDescent="0.3">
      <c r="A51">
        <v>15</v>
      </c>
      <c r="B51" t="s">
        <v>59</v>
      </c>
      <c r="C51">
        <f>COUNTIF('[1]test (1)'!E:E,"*Biochemistry*")</f>
        <v>18</v>
      </c>
    </row>
    <row r="53" spans="1:3" ht="18" x14ac:dyDescent="0.35">
      <c r="A53" s="3" t="s">
        <v>60</v>
      </c>
      <c r="B53" s="3"/>
      <c r="C53" s="3"/>
    </row>
    <row r="54" spans="1:3" x14ac:dyDescent="0.3">
      <c r="A54" s="4" t="s">
        <v>44</v>
      </c>
      <c r="B54" s="4" t="s">
        <v>61</v>
      </c>
      <c r="C54" s="4" t="s">
        <v>62</v>
      </c>
    </row>
    <row r="55" spans="1:3" x14ac:dyDescent="0.3">
      <c r="A55">
        <v>1</v>
      </c>
      <c r="B55" t="s">
        <v>63</v>
      </c>
      <c r="C55">
        <f>COUNTIF('[1]test (1)'!F:F,"*covid-19*")</f>
        <v>45</v>
      </c>
    </row>
    <row r="56" spans="1:3" x14ac:dyDescent="0.3">
      <c r="A56">
        <v>2</v>
      </c>
      <c r="B56" t="s">
        <v>64</v>
      </c>
      <c r="C56">
        <f>COUNTIF('[1]test (1)'!F:F,"*turkey*")</f>
        <v>24</v>
      </c>
    </row>
    <row r="57" spans="1:3" x14ac:dyDescent="0.3">
      <c r="A57">
        <v>3</v>
      </c>
      <c r="B57" t="s">
        <v>65</v>
      </c>
      <c r="C57">
        <f>COUNTIF('[1]test (1)'!F:F,"*sars-cov-2*")</f>
        <v>11</v>
      </c>
    </row>
    <row r="58" spans="1:3" x14ac:dyDescent="0.3">
      <c r="A58">
        <v>4</v>
      </c>
      <c r="B58" t="s">
        <v>66</v>
      </c>
      <c r="C58">
        <f>COUNTIF('[1]test (1)'!F:F,"*pandemic*")</f>
        <v>13</v>
      </c>
    </row>
    <row r="59" spans="1:3" x14ac:dyDescent="0.3">
      <c r="A59">
        <v>5</v>
      </c>
      <c r="B59" t="s">
        <v>67</v>
      </c>
      <c r="C59">
        <f>COUNTIF('[1]test (1)'!F:F,"*rat*")</f>
        <v>120</v>
      </c>
    </row>
    <row r="60" spans="1:3" x14ac:dyDescent="0.3">
      <c r="A60">
        <v>6</v>
      </c>
      <c r="B60" t="s">
        <v>68</v>
      </c>
      <c r="C60">
        <f>COUNTIF('[1]test (1)'!F:F,"*molecular docking*")</f>
        <v>9</v>
      </c>
    </row>
    <row r="61" spans="1:3" x14ac:dyDescent="0.3">
      <c r="A61">
        <v>7</v>
      </c>
      <c r="B61" t="s">
        <v>69</v>
      </c>
      <c r="C61">
        <f>COUNTIF('[1]test (1)'!F:F,"*text mining*")</f>
        <v>6</v>
      </c>
    </row>
    <row r="62" spans="1:3" x14ac:dyDescent="0.3">
      <c r="A62">
        <v>8</v>
      </c>
      <c r="B62" t="s">
        <v>70</v>
      </c>
      <c r="C62">
        <f>COUNTIF('[1]test (1)'!F:F,"*mortality*")</f>
        <v>10</v>
      </c>
    </row>
    <row r="63" spans="1:3" x14ac:dyDescent="0.3">
      <c r="A63">
        <v>9</v>
      </c>
      <c r="B63" t="s">
        <v>71</v>
      </c>
      <c r="C63">
        <f>COUNTIF('[1]test (1)'!F:F,"*treatment*")</f>
        <v>18</v>
      </c>
    </row>
    <row r="64" spans="1:3" x14ac:dyDescent="0.3">
      <c r="A64">
        <v>10</v>
      </c>
      <c r="B64" t="s">
        <v>72</v>
      </c>
      <c r="C64">
        <f>COUNTIF('[1]test (1)'!F:F,"*oxidative stress*")</f>
        <v>6</v>
      </c>
    </row>
    <row r="65" spans="1:3" x14ac:dyDescent="0.3">
      <c r="A65">
        <v>11</v>
      </c>
      <c r="B65" t="s">
        <v>73</v>
      </c>
      <c r="C65">
        <f>COUNTIF('[1]test (1)'!F:F,"*stability*")</f>
        <v>14</v>
      </c>
    </row>
    <row r="66" spans="1:3" x14ac:dyDescent="0.3">
      <c r="A66">
        <v>12</v>
      </c>
      <c r="B66" t="s">
        <v>74</v>
      </c>
      <c r="C66">
        <f>COUNTIF('[1]test (1)'!F:F,"*machine learning*")</f>
        <v>7</v>
      </c>
    </row>
    <row r="67" spans="1:3" x14ac:dyDescent="0.3">
      <c r="A67">
        <v>13</v>
      </c>
      <c r="B67" t="s">
        <v>75</v>
      </c>
      <c r="C67">
        <f>COUNTIF('[1]test (1)'!F:F,"*cytotoxic*")</f>
        <v>8</v>
      </c>
    </row>
    <row r="68" spans="1:3" x14ac:dyDescent="0.3">
      <c r="A68">
        <v>14</v>
      </c>
      <c r="B68" t="s">
        <v>76</v>
      </c>
      <c r="C68">
        <f>COUNTIF('[1]test (1)'!F:F,"*pregnancy*")</f>
        <v>9</v>
      </c>
    </row>
    <row r="69" spans="1:3" x14ac:dyDescent="0.3">
      <c r="A69">
        <v>15</v>
      </c>
      <c r="B69" t="s">
        <v>77</v>
      </c>
      <c r="C69">
        <f>COUNTIF('[1]test (1)'!F:F,"*quality of life*")</f>
        <v>6</v>
      </c>
    </row>
    <row r="70" spans="1:3" x14ac:dyDescent="0.3">
      <c r="A70">
        <v>16</v>
      </c>
      <c r="B70" t="s">
        <v>78</v>
      </c>
      <c r="C70">
        <f>COUNTIF('[1]test (1)'!F:F,"*deep learning*")</f>
        <v>6</v>
      </c>
    </row>
    <row r="71" spans="1:3" x14ac:dyDescent="0.3">
      <c r="A71">
        <v>17</v>
      </c>
      <c r="B71" t="s">
        <v>79</v>
      </c>
      <c r="C71">
        <f>COUNTIF('[1]test (1)'!F:F,"*children*")</f>
        <v>9</v>
      </c>
    </row>
    <row r="72" spans="1:3" x14ac:dyDescent="0.3">
      <c r="A72">
        <v>18</v>
      </c>
      <c r="B72" t="s">
        <v>80</v>
      </c>
      <c r="C72">
        <f>COUNTIF('[1]test (1)'!F:F,"*cancer*")</f>
        <v>17</v>
      </c>
    </row>
    <row r="73" spans="1:3" x14ac:dyDescent="0.3">
      <c r="A73">
        <v>19</v>
      </c>
      <c r="B73" t="s">
        <v>81</v>
      </c>
      <c r="C73">
        <f>COUNTIF('[1]test (1)'!F:F,"*virtual screening*")</f>
        <v>5</v>
      </c>
    </row>
    <row r="74" spans="1:3" x14ac:dyDescent="0.3">
      <c r="A74">
        <v>20</v>
      </c>
      <c r="B74" t="s">
        <v>82</v>
      </c>
      <c r="C74">
        <f>COUNTIF('[1]test (1)'!F:F,"*culture*")</f>
        <v>9</v>
      </c>
    </row>
    <row r="76" spans="1:3" ht="18" x14ac:dyDescent="0.35">
      <c r="A76" s="3" t="s">
        <v>83</v>
      </c>
      <c r="B76" s="3"/>
      <c r="C76" s="3"/>
    </row>
    <row r="78" spans="1:3" x14ac:dyDescent="0.3">
      <c r="A78" t="s">
        <v>84</v>
      </c>
    </row>
    <row r="79" spans="1:3" x14ac:dyDescent="0.3">
      <c r="A79" t="s">
        <v>85</v>
      </c>
    </row>
    <row r="80" spans="1:3" x14ac:dyDescent="0.3">
      <c r="A80" t="s">
        <v>86</v>
      </c>
    </row>
    <row r="81" spans="1:1" x14ac:dyDescent="0.3">
      <c r="A81" t="s">
        <v>87</v>
      </c>
    </row>
    <row r="82" spans="1:1" x14ac:dyDescent="0.3">
      <c r="A82" t="s">
        <v>88</v>
      </c>
    </row>
    <row r="84" spans="1:1" x14ac:dyDescent="0.3">
      <c r="A84" t="s">
        <v>89</v>
      </c>
    </row>
    <row r="85" spans="1:1" x14ac:dyDescent="0.3">
      <c r="A85" t="s">
        <v>90</v>
      </c>
    </row>
    <row r="86" spans="1:1" x14ac:dyDescent="0.3">
      <c r="A86" t="s">
        <v>91</v>
      </c>
    </row>
    <row r="87" spans="1:1" x14ac:dyDescent="0.3">
      <c r="A87" t="s">
        <v>92</v>
      </c>
    </row>
    <row r="89" spans="1:1" x14ac:dyDescent="0.3">
      <c r="A89" s="9" t="s">
        <v>93</v>
      </c>
    </row>
  </sheetData>
  <mergeCells count="8">
    <mergeCell ref="A53:C53"/>
    <mergeCell ref="A76:C76"/>
    <mergeCell ref="A1:C1"/>
    <mergeCell ref="A2:C2"/>
    <mergeCell ref="A4:B4"/>
    <mergeCell ref="A13:C13"/>
    <mergeCell ref="A23:B23"/>
    <mergeCell ref="A35:C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 Kartal</dc:creator>
  <cp:lastModifiedBy>Kerem Kartal</cp:lastModifiedBy>
  <dcterms:created xsi:type="dcterms:W3CDTF">2026-04-19T12:14:46Z</dcterms:created>
  <dcterms:modified xsi:type="dcterms:W3CDTF">2026-04-19T12:15:12Z</dcterms:modified>
</cp:coreProperties>
</file>